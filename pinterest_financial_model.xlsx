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D4FF42B1-20AA-47FB-9203-16532438F7C6}" xr6:coauthVersionLast="47" xr6:coauthVersionMax="47" xr10:uidLastSave="{00000000-0000-0000-0000-000000000000}"/>
  <bookViews>
    <workbookView xWindow="0" yWindow="0" windowWidth="16384" windowHeight="8192" tabRatio="500" firstSheet="1" activeTab="4" xr2:uid="{00000000-000D-0000-FFFF-FFFF00000000}"/>
  </bookViews>
  <sheets>
    <sheet name="Raw Data" sheetId="1" r:id="rId1"/>
    <sheet name="Trend Analysis" sheetId="2" r:id="rId2"/>
    <sheet name="Revenue Driver Model" sheetId="3" r:id="rId3"/>
    <sheet name="Scenario Engine" sheetId="4" r:id="rId4"/>
    <sheet name="Sensitivity Analysis" sheetId="5" r:id="rId5"/>
    <sheet name="Geographic Opportunity" sheetId="6" r:id="rId6"/>
    <sheet name="Monte Carlo Simulation" sheetId="7" r:id="rId7"/>
    <sheet name="Dashboard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8" l="1"/>
  <c r="C11" i="8"/>
  <c r="C10" i="8"/>
  <c r="E17" i="6"/>
  <c r="D17" i="6"/>
  <c r="F17" i="6" s="1"/>
  <c r="C16" i="6"/>
  <c r="E16" i="6" s="1"/>
  <c r="B16" i="6"/>
  <c r="D16" i="6" s="1"/>
  <c r="F16" i="6" s="1"/>
  <c r="C15" i="6"/>
  <c r="E15" i="6" s="1"/>
  <c r="B15" i="6"/>
  <c r="D15" i="6" s="1"/>
  <c r="F15" i="6" s="1"/>
  <c r="C14" i="6"/>
  <c r="E14" i="6" s="1"/>
  <c r="B14" i="6"/>
  <c r="D14" i="6" s="1"/>
  <c r="F14" i="6" s="1"/>
  <c r="E13" i="6"/>
  <c r="D13" i="6"/>
  <c r="F13" i="6" s="1"/>
  <c r="E8" i="6"/>
  <c r="F8" i="6" s="1"/>
  <c r="E7" i="6"/>
  <c r="F7" i="6" s="1"/>
  <c r="E6" i="6"/>
  <c r="F6" i="6" s="1"/>
  <c r="E5" i="6"/>
  <c r="F5" i="6" s="1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C24" i="5"/>
  <c r="D24" i="5" s="1"/>
  <c r="E24" i="5" s="1"/>
  <c r="B24" i="5"/>
  <c r="C23" i="5"/>
  <c r="D23" i="5" s="1"/>
  <c r="E23" i="5" s="1"/>
  <c r="B23" i="5"/>
  <c r="C22" i="5"/>
  <c r="D22" i="5" s="1"/>
  <c r="E22" i="5" s="1"/>
  <c r="B22" i="5"/>
  <c r="C21" i="5"/>
  <c r="D21" i="5" s="1"/>
  <c r="E21" i="5" s="1"/>
  <c r="B21" i="5"/>
  <c r="C20" i="5"/>
  <c r="D20" i="5" s="1"/>
  <c r="E20" i="5" s="1"/>
  <c r="B20" i="5"/>
  <c r="C19" i="5"/>
  <c r="D19" i="5" s="1"/>
  <c r="E19" i="5" s="1"/>
  <c r="B19" i="5"/>
  <c r="C14" i="5"/>
  <c r="D14" i="5" s="1"/>
  <c r="E14" i="5" s="1"/>
  <c r="B14" i="5"/>
  <c r="C13" i="5"/>
  <c r="D13" i="5" s="1"/>
  <c r="E13" i="5" s="1"/>
  <c r="B13" i="5"/>
  <c r="C12" i="5"/>
  <c r="D12" i="5" s="1"/>
  <c r="E12" i="5" s="1"/>
  <c r="B12" i="5"/>
  <c r="C11" i="5"/>
  <c r="D11" i="5" s="1"/>
  <c r="E11" i="5" s="1"/>
  <c r="B11" i="5"/>
  <c r="C10" i="5"/>
  <c r="D10" i="5" s="1"/>
  <c r="E10" i="5" s="1"/>
  <c r="B10" i="5"/>
  <c r="C9" i="5"/>
  <c r="D9" i="5" s="1"/>
  <c r="E9" i="5" s="1"/>
  <c r="B9" i="5"/>
  <c r="C8" i="5"/>
  <c r="D8" i="5" s="1"/>
  <c r="E8" i="5" s="1"/>
  <c r="B8" i="5"/>
  <c r="B5" i="5"/>
  <c r="B47" i="4"/>
  <c r="B46" i="4"/>
  <c r="B45" i="4"/>
  <c r="B38" i="4"/>
  <c r="C37" i="4"/>
  <c r="D37" i="4" s="1"/>
  <c r="E37" i="4" s="1"/>
  <c r="F37" i="4" s="1"/>
  <c r="G37" i="4" s="1"/>
  <c r="C36" i="4"/>
  <c r="D36" i="4" s="1"/>
  <c r="E36" i="4" s="1"/>
  <c r="F36" i="4" s="1"/>
  <c r="G36" i="4" s="1"/>
  <c r="C35" i="4"/>
  <c r="D35" i="4" s="1"/>
  <c r="E35" i="4" s="1"/>
  <c r="F35" i="4" s="1"/>
  <c r="G35" i="4" s="1"/>
  <c r="C34" i="4"/>
  <c r="B31" i="4"/>
  <c r="B30" i="4"/>
  <c r="B29" i="4"/>
  <c r="B32" i="4" s="1"/>
  <c r="B39" i="4" s="1"/>
  <c r="B40" i="4" s="1"/>
  <c r="C27" i="4"/>
  <c r="C26" i="4"/>
  <c r="C25" i="4"/>
  <c r="C24" i="4"/>
  <c r="D24" i="4" s="1"/>
  <c r="E24" i="4" s="1"/>
  <c r="F24" i="4" s="1"/>
  <c r="G24" i="4" s="1"/>
  <c r="C23" i="4"/>
  <c r="D23" i="4" s="1"/>
  <c r="E23" i="4" s="1"/>
  <c r="F23" i="4" s="1"/>
  <c r="G23" i="4" s="1"/>
  <c r="C22" i="4"/>
  <c r="D22" i="4" s="1"/>
  <c r="E22" i="4" s="1"/>
  <c r="F22" i="4" s="1"/>
  <c r="G22" i="4" s="1"/>
  <c r="C21" i="4"/>
  <c r="D21" i="4" s="1"/>
  <c r="E21" i="4" s="1"/>
  <c r="F21" i="4" s="1"/>
  <c r="G21" i="4" s="1"/>
  <c r="E7" i="3"/>
  <c r="E9" i="3" s="1"/>
  <c r="E11" i="3" s="1"/>
  <c r="D7" i="3"/>
  <c r="D9" i="3" s="1"/>
  <c r="D11" i="3" s="1"/>
  <c r="C7" i="3"/>
  <c r="C9" i="3" s="1"/>
  <c r="C11" i="3" s="1"/>
  <c r="B7" i="3"/>
  <c r="B9" i="3" s="1"/>
  <c r="B11" i="3" s="1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C10" i="2" l="1"/>
  <c r="D10" i="2"/>
  <c r="E10" i="2"/>
  <c r="F10" i="2"/>
  <c r="G5" i="2"/>
  <c r="C11" i="2"/>
  <c r="D11" i="2"/>
  <c r="E11" i="2"/>
  <c r="F11" i="2"/>
  <c r="G6" i="2"/>
  <c r="C12" i="2"/>
  <c r="D12" i="2"/>
  <c r="E12" i="2"/>
  <c r="F12" i="2"/>
  <c r="G7" i="2"/>
  <c r="C13" i="2"/>
  <c r="D13" i="2"/>
  <c r="E13" i="2"/>
  <c r="F13" i="2"/>
  <c r="G8" i="2"/>
  <c r="C22" i="2"/>
  <c r="D22" i="2"/>
  <c r="E22" i="2"/>
  <c r="F22" i="2"/>
  <c r="G17" i="2"/>
  <c r="C23" i="2"/>
  <c r="D23" i="2"/>
  <c r="E23" i="2"/>
  <c r="F23" i="2"/>
  <c r="G18" i="2"/>
  <c r="C24" i="2"/>
  <c r="D24" i="2"/>
  <c r="E24" i="2"/>
  <c r="F24" i="2"/>
  <c r="G19" i="2"/>
  <c r="C25" i="2"/>
  <c r="D25" i="2"/>
  <c r="E25" i="2"/>
  <c r="F25" i="2"/>
  <c r="G20" i="2"/>
  <c r="C34" i="2"/>
  <c r="D34" i="2"/>
  <c r="E34" i="2"/>
  <c r="F34" i="2"/>
  <c r="G29" i="2"/>
  <c r="B39" i="2"/>
  <c r="C39" i="2"/>
  <c r="C35" i="2"/>
  <c r="D39" i="2"/>
  <c r="D35" i="2"/>
  <c r="E39" i="2"/>
  <c r="E35" i="2"/>
  <c r="F39" i="2"/>
  <c r="F35" i="2"/>
  <c r="G30" i="2"/>
  <c r="B40" i="2"/>
  <c r="C40" i="2"/>
  <c r="C36" i="2"/>
  <c r="D40" i="2"/>
  <c r="D36" i="2"/>
  <c r="E40" i="2"/>
  <c r="E36" i="2"/>
  <c r="F40" i="2"/>
  <c r="F36" i="2"/>
  <c r="G31" i="2"/>
  <c r="B41" i="2"/>
  <c r="C41" i="2"/>
  <c r="C37" i="2"/>
  <c r="D41" i="2"/>
  <c r="D37" i="2"/>
  <c r="E41" i="2"/>
  <c r="E37" i="2"/>
  <c r="F41" i="2"/>
  <c r="F37" i="2"/>
  <c r="G32" i="2"/>
  <c r="B13" i="3"/>
  <c r="B16" i="3" s="1"/>
  <c r="C19" i="3"/>
  <c r="C13" i="3"/>
  <c r="D19" i="3"/>
  <c r="D13" i="3"/>
  <c r="E19" i="3"/>
  <c r="E13" i="3"/>
  <c r="C29" i="4"/>
  <c r="D25" i="4"/>
  <c r="C30" i="4"/>
  <c r="D26" i="4"/>
  <c r="C31" i="4"/>
  <c r="D27" i="4"/>
  <c r="C38" i="4"/>
  <c r="D34" i="4"/>
  <c r="C46" i="4"/>
  <c r="C47" i="4"/>
  <c r="G13" i="6"/>
  <c r="H13" i="6" s="1"/>
  <c r="G14" i="6"/>
  <c r="H14" i="6" s="1"/>
  <c r="G15" i="6"/>
  <c r="H15" i="6" s="1"/>
  <c r="G16" i="6"/>
  <c r="H16" i="6" s="1"/>
  <c r="G17" i="6"/>
  <c r="H17" i="6" s="1"/>
  <c r="D38" i="4" l="1"/>
  <c r="E34" i="4"/>
  <c r="D31" i="4"/>
  <c r="E27" i="4"/>
  <c r="D30" i="4"/>
  <c r="E26" i="4"/>
  <c r="D29" i="4"/>
  <c r="D32" i="4" s="1"/>
  <c r="E25" i="4"/>
  <c r="C32" i="4"/>
  <c r="E20" i="3"/>
  <c r="E14" i="3"/>
  <c r="E16" i="3"/>
  <c r="D20" i="3"/>
  <c r="D14" i="3"/>
  <c r="D16" i="3"/>
  <c r="C20" i="3"/>
  <c r="C14" i="3"/>
  <c r="C16" i="3"/>
  <c r="C39" i="4" l="1"/>
  <c r="C40" i="4" s="1"/>
  <c r="E29" i="4"/>
  <c r="F25" i="4"/>
  <c r="D39" i="4"/>
  <c r="D40" i="4" s="1"/>
  <c r="E30" i="4"/>
  <c r="F26" i="4"/>
  <c r="E31" i="4"/>
  <c r="F27" i="4"/>
  <c r="E38" i="4"/>
  <c r="F34" i="4"/>
  <c r="F38" i="4" l="1"/>
  <c r="G34" i="4"/>
  <c r="G38" i="4" s="1"/>
  <c r="F31" i="4"/>
  <c r="G27" i="4"/>
  <c r="G31" i="4" s="1"/>
  <c r="F30" i="4"/>
  <c r="G26" i="4"/>
  <c r="G30" i="4" s="1"/>
  <c r="F29" i="4"/>
  <c r="F32" i="4" s="1"/>
  <c r="G25" i="4"/>
  <c r="G29" i="4" s="1"/>
  <c r="G32" i="4" s="1"/>
  <c r="E32" i="4"/>
  <c r="E39" i="4" l="1"/>
  <c r="E40" i="4" s="1"/>
  <c r="G39" i="4"/>
  <c r="G40" i="4" s="1"/>
  <c r="F39" i="4"/>
  <c r="F40" i="4" s="1"/>
</calcChain>
</file>

<file path=xl/sharedStrings.xml><?xml version="1.0" encoding="utf-8"?>
<sst xmlns="http://schemas.openxmlformats.org/spreadsheetml/2006/main" count="382" uniqueCount="272">
  <si>
    <t>Raw Financial Data (from 10-K Filings)</t>
  </si>
  <si>
    <t>Metric</t>
  </si>
  <si>
    <t>2021</t>
  </si>
  <si>
    <t>2022</t>
  </si>
  <si>
    <t>2023</t>
  </si>
  <si>
    <t>2024</t>
  </si>
  <si>
    <t>2025</t>
  </si>
  <si>
    <t>Global MAU (M)</t>
  </si>
  <si>
    <t>US &amp; Canada MAU (M)</t>
  </si>
  <si>
    <t>Europe MAU (M)</t>
  </si>
  <si>
    <t>Rest of World MAU (M)</t>
  </si>
  <si>
    <t>US &amp; Canada ARPU ($)</t>
  </si>
  <si>
    <t>Europe ARPU ($)</t>
  </si>
  <si>
    <t>Rest of World ARPU ($)</t>
  </si>
  <si>
    <t>Global ARPU ($)</t>
  </si>
  <si>
    <t>Total Revenue ($M)</t>
  </si>
  <si>
    <t>US &amp; Canada Revenue ($M)</t>
  </si>
  <si>
    <t>Europe Revenue ($M)</t>
  </si>
  <si>
    <t>Rest of World Revenue ($M)</t>
  </si>
  <si>
    <t>Cost of Revenue ($M)</t>
  </si>
  <si>
    <t>Research &amp; Development ($M)</t>
  </si>
  <si>
    <t>Sales &amp; Marketing ($M)</t>
  </si>
  <si>
    <t>General &amp; Administrative ($M)</t>
  </si>
  <si>
    <t>Total OpEx ($M)</t>
  </si>
  <si>
    <t>Income from Operations ($M)</t>
  </si>
  <si>
    <t>Net Income ($M)</t>
  </si>
  <si>
    <t>Adjusted EBITDA ($M)</t>
  </si>
  <si>
    <t>SBC Expense ($M)</t>
  </si>
  <si>
    <t>Free Cash Flow ($M)</t>
  </si>
  <si>
    <t>Headcount</t>
  </si>
  <si>
    <t>Source: Pinterest 10-K filings (FY2024, FY2025). SEC EDGAR.</t>
  </si>
  <si>
    <t>Note: 2021-2022 MAU geographic splits and ARPU are estimated from reported growth rates.</t>
  </si>
  <si>
    <t>Trend Analysis: Growth Metrics &amp; CAGR</t>
  </si>
  <si>
    <t>MAU Growth Analysis</t>
  </si>
  <si>
    <t>CAGR (4yr)</t>
  </si>
  <si>
    <t>ROW MAU (M)</t>
  </si>
  <si>
    <t>Global MAU Growth YoY</t>
  </si>
  <si>
    <t>—</t>
  </si>
  <si>
    <t>US &amp; Canada MAU Growth YoY</t>
  </si>
  <si>
    <t>Europe MAU Growth YoY</t>
  </si>
  <si>
    <t>ROW MAU Growth YoY</t>
  </si>
  <si>
    <t>ARPU Growth Analysis</t>
  </si>
  <si>
    <t>ROW ARPU ($)</t>
  </si>
  <si>
    <t>Global ARPU Growth YoY</t>
  </si>
  <si>
    <t>US &amp; Canada ARPU Growth YoY</t>
  </si>
  <si>
    <t>Europe ARPU Growth YoY</t>
  </si>
  <si>
    <t>ROW ARPU Growth YoY</t>
  </si>
  <si>
    <t>Revenue Analysis</t>
  </si>
  <si>
    <t>ROW Revenue ($M)</t>
  </si>
  <si>
    <t>Revenue Growth YoY</t>
  </si>
  <si>
    <t>US &amp; Canada Rev Growth</t>
  </si>
  <si>
    <t>Europe Rev Growth</t>
  </si>
  <si>
    <t>ROW Rev Growth</t>
  </si>
  <si>
    <t>Revenue Share: US &amp; Canada</t>
  </si>
  <si>
    <t>Revenue Share: Europe</t>
  </si>
  <si>
    <t>Revenue Share: ROW</t>
  </si>
  <si>
    <t>Revenue Driver Decomposition: Revenue = Users × Engagement × Ads × Price</t>
  </si>
  <si>
    <t>Advertising Funnel Metrics</t>
  </si>
  <si>
    <t>Average MAUs (M)</t>
  </si>
  <si>
    <t>WAU/MAU Ratio</t>
  </si>
  <si>
    <t>Avg Weekly Active Users (M)</t>
  </si>
  <si>
    <t>Sessions per WAU per Month (est)</t>
  </si>
  <si>
    <t>Total Monthly Sessions (B)</t>
  </si>
  <si>
    <t>Ads per Session (est)</t>
  </si>
  <si>
    <t>Total Ads Served (B/yr)</t>
  </si>
  <si>
    <t>Effective CPM ($)</t>
  </si>
  <si>
    <t>CPM Growth YoY</t>
  </si>
  <si>
    <t>Implied Revenue ($M)</t>
  </si>
  <si>
    <t>Actual Revenue ($M)</t>
  </si>
  <si>
    <t>Ads Served Growth YoY</t>
  </si>
  <si>
    <t>Price Growth YoY</t>
  </si>
  <si>
    <t>Volume vs Price Split</t>
  </si>
  <si>
    <t>Key Insight: Volume vs. Price Dynamics</t>
  </si>
  <si>
    <t>→  Pinterest's revenue growth is driven overwhelmingly by VOLUME!!! (way more ads served)</t>
  </si>
  <si>
    <t>→  Ad prices have declined 14% (2024) and 22% (2025); offset by 39% and 49% more ads</t>
  </si>
  <si>
    <t>→  This "volume over price'" model creates AI risk: if engagement drops, ad volume collapses</t>
  </si>
  <si>
    <t>→  AI disruption could reduce sessions and engagement, directly compressing ad inventory</t>
  </si>
  <si>
    <t>Scenario Engine: Base Case / AI Disruption / AI Integration</t>
  </si>
  <si>
    <t>SELECT SCENARIO:</t>
  </si>
  <si>
    <t>Base Case</t>
  </si>
  <si>
    <t>Scenario Assumptions</t>
  </si>
  <si>
    <t>Assumption</t>
  </si>
  <si>
    <t>AI Disruption</t>
  </si>
  <si>
    <t>AI Integration</t>
  </si>
  <si>
    <t>MAU Growth Rate (annual)</t>
  </si>
  <si>
    <t>US ARPU Growth Rate</t>
  </si>
  <si>
    <t>Europe ARPU Growth Rate</t>
  </si>
  <si>
    <t>ROW ARPU Growth Rate</t>
  </si>
  <si>
    <t>Engagement Change (sessions/user)</t>
  </si>
  <si>
    <t>Ad Load Change</t>
  </si>
  <si>
    <t>CPM Change</t>
  </si>
  <si>
    <t>Cost of Revenue Growth</t>
  </si>
  <si>
    <t>R&amp;D Growth</t>
  </si>
  <si>
    <t>S&amp;M Growth</t>
  </si>
  <si>
    <t>5-Year Revenue Projection</t>
  </si>
  <si>
    <t>2025 (Actual)</t>
  </si>
  <si>
    <t>2026E</t>
  </si>
  <si>
    <t>2027E</t>
  </si>
  <si>
    <t>2028E</t>
  </si>
  <si>
    <t>2029E</t>
  </si>
  <si>
    <t>2030E</t>
  </si>
  <si>
    <t>US ARPU ($)</t>
  </si>
  <si>
    <t>R&amp;D ($M)</t>
  </si>
  <si>
    <t>S&amp;M ($M)</t>
  </si>
  <si>
    <t>G&amp;A ($M)</t>
  </si>
  <si>
    <t>Operating Income ($M)</t>
  </si>
  <si>
    <t>Op Margin</t>
  </si>
  <si>
    <t>Scenario Comparison: 2030 Revenue Estimates</t>
  </si>
  <si>
    <t>Scenario</t>
  </si>
  <si>
    <t>2030E Revenue ($M)</t>
  </si>
  <si>
    <t>vs. Base Case</t>
  </si>
  <si>
    <t>Sensitivity Analysis: Revenue Impact from Key Variable Changes</t>
  </si>
  <si>
    <t>Panel A: US ARPU Decline Impact on Total Revenue</t>
  </si>
  <si>
    <t>2025 Baseline Revenue ($M):</t>
  </si>
  <si>
    <t>US Revenue Share of Total:</t>
  </si>
  <si>
    <t>US ARPU Change</t>
  </si>
  <si>
    <t>New US ARPU ($)</t>
  </si>
  <si>
    <t>US Revenue Impact ($M)</t>
  </si>
  <si>
    <t>Total Revenue Change</t>
  </si>
  <si>
    <t>Panel B: Global MAU Decline Impact on Revenue</t>
  </si>
  <si>
    <t>MAU Change</t>
  </si>
  <si>
    <t>New Global MAU (M)</t>
  </si>
  <si>
    <t>Revenue Impact ($M)</t>
  </si>
  <si>
    <t>Panel C: Two Way Sensitivity: Revenue ($M) by MAU Growth × ARPU Growth</t>
  </si>
  <si>
    <t>MAU Growth ↓ / ARPU Growth →</t>
  </si>
  <si>
    <t>Geographic Monetization Opportunity: International ARPU Convergence Model</t>
  </si>
  <si>
    <t>Current State: ARPU Gap Analysis (2025)</t>
  </si>
  <si>
    <t>Region</t>
  </si>
  <si>
    <t>MAU (M)</t>
  </si>
  <si>
    <t>ARPU ($)</t>
  </si>
  <si>
    <t>Revenue ($M)</t>
  </si>
  <si>
    <t>ARPU as % of US</t>
  </si>
  <si>
    <t>Monetization Gap</t>
  </si>
  <si>
    <t>US &amp; Canada</t>
  </si>
  <si>
    <t>Europe</t>
  </si>
  <si>
    <t>Rest of World</t>
  </si>
  <si>
    <t>Global</t>
  </si>
  <si>
    <t>International ARPU Convergence Scenarios</t>
  </si>
  <si>
    <t>Europe Target ARPU ($)</t>
  </si>
  <si>
    <t>ROW Target ARPU ($)</t>
  </si>
  <si>
    <t>EU Rev ($M)</t>
  </si>
  <si>
    <t>ROW Rev ($M)</t>
  </si>
  <si>
    <t>Revenue Uplift ($M)</t>
  </si>
  <si>
    <t>Uplift %</t>
  </si>
  <si>
    <t>Current State</t>
  </si>
  <si>
    <t>EU +50%, ROW +100%</t>
  </si>
  <si>
    <t>EU +100%, ROW +200%</t>
  </si>
  <si>
    <t>EU at 50% of US, ROW at 10%</t>
  </si>
  <si>
    <t>Full Convergence to US</t>
  </si>
  <si>
    <t>Strategic Insight</t>
  </si>
  <si>
    <t>→  If Europe ARPU reaches 50% of US levels ($15.42), European revenue alone exceeds $2.3B which is a 3x increase.</t>
  </si>
  <si>
    <t>→  ROW at just 10% of US ARPU ($3.08) generates $1.1B+ which is a 4x improvement over current state!!!</t>
  </si>
  <si>
    <t>→  Full international monetization represents a ~$16B+ revenue opportunity vs. current $4.2B</t>
  </si>
  <si>
    <t>→  AI powered personalization and shopping tools are the key enablers of international ARPU convergence</t>
  </si>
  <si>
    <t>Monte Carlo Risk Simulation: 1,000 Revenue Outcome Scenarios</t>
  </si>
  <si>
    <t>Simulation Parameters</t>
  </si>
  <si>
    <t>Parameter</t>
  </si>
  <si>
    <t>Distribution</t>
  </si>
  <si>
    <t>Min</t>
  </si>
  <si>
    <t>Max</t>
  </si>
  <si>
    <t>Mean</t>
  </si>
  <si>
    <t>Std Dev</t>
  </si>
  <si>
    <t>US ARPU Growth</t>
  </si>
  <si>
    <t>Normal</t>
  </si>
  <si>
    <t>Europe ARPU Growth</t>
  </si>
  <si>
    <t>ROW ARPU Growth</t>
  </si>
  <si>
    <t>MAU Growth</t>
  </si>
  <si>
    <t>Engagement Change</t>
  </si>
  <si>
    <t>Ad Price Change</t>
  </si>
  <si>
    <t>Simulation Results (1,000 iterations)</t>
  </si>
  <si>
    <t>Statistic</t>
  </si>
  <si>
    <t>Value ($M)</t>
  </si>
  <si>
    <t>Mean Revenue</t>
  </si>
  <si>
    <t>Median Revenue</t>
  </si>
  <si>
    <t>Standard Deviation</t>
  </si>
  <si>
    <t>Minimum</t>
  </si>
  <si>
    <t>5th Percentile (Downside)</t>
  </si>
  <si>
    <t>25th Percentile</t>
  </si>
  <si>
    <t>75th Percentile</t>
  </si>
  <si>
    <t>95th Percentile (Upside)</t>
  </si>
  <si>
    <t>Maximum</t>
  </si>
  <si>
    <t>Probability Revenue &lt; $4,000M</t>
  </si>
  <si>
    <t>Probability Revenue &lt; $3,500M</t>
  </si>
  <si>
    <t>Probability Revenue &gt; $5,000M</t>
  </si>
  <si>
    <t>Probability Revenue &gt; $5,500M</t>
  </si>
  <si>
    <t>Revenue Distribution (Histogram Buckets)</t>
  </si>
  <si>
    <t>Revenue Bucket ($M)</t>
  </si>
  <si>
    <t>Count</t>
  </si>
  <si>
    <t>Cumulative %</t>
  </si>
  <si>
    <t>$2,500–$2,750</t>
  </si>
  <si>
    <t>$2,750–$3,000</t>
  </si>
  <si>
    <t>$3,000–$3,250</t>
  </si>
  <si>
    <t>$3,250–$3,500</t>
  </si>
  <si>
    <t>$3,500–$3,750</t>
  </si>
  <si>
    <t>$3,750–$4,000</t>
  </si>
  <si>
    <t>$4,000–$4,250</t>
  </si>
  <si>
    <t>$4,250–$4,500</t>
  </si>
  <si>
    <t>$4,500–$4,750</t>
  </si>
  <si>
    <t>$4,750–$5,000</t>
  </si>
  <si>
    <t>$5,000–$5,250</t>
  </si>
  <si>
    <t>$5,250–$5,500</t>
  </si>
  <si>
    <t>$5,500–$5,750</t>
  </si>
  <si>
    <t>$5,750–$6,000</t>
  </si>
  <si>
    <t>$6,000–$6,250</t>
  </si>
  <si>
    <t>$6,250–$6,500</t>
  </si>
  <si>
    <t>$6,500–$6,750</t>
  </si>
  <si>
    <t>$6,750–$7,000</t>
  </si>
  <si>
    <t>PINTEREST STRATEGIC ANALYSIS DASHBOARD :)</t>
  </si>
  <si>
    <t>How Exposed Is Pinterest to AI Disruption?</t>
  </si>
  <si>
    <t>FY2025 Revenue</t>
  </si>
  <si>
    <t>Global MAUs</t>
  </si>
  <si>
    <t>Adj. EBITDA</t>
  </si>
  <si>
    <t>Free Cash Flow</t>
  </si>
  <si>
    <t>$4.22B</t>
  </si>
  <si>
    <t>619M</t>
  </si>
  <si>
    <t>$1.27B</t>
  </si>
  <si>
    <t>$1.25B</t>
  </si>
  <si>
    <t>7.6%</t>
  </si>
  <si>
    <t>+16% YoY</t>
  </si>
  <si>
    <t>+12% YoY</t>
  </si>
  <si>
    <t>+23% YoY</t>
  </si>
  <si>
    <t>+33% YoY</t>
  </si>
  <si>
    <t>+280bps YoY</t>
  </si>
  <si>
    <t>Revenue by Region (2025)</t>
  </si>
  <si>
    <t>Strategic Risk Priority Matrix</t>
  </si>
  <si>
    <t>Share</t>
  </si>
  <si>
    <t>Risk Factor</t>
  </si>
  <si>
    <t>Likelihood</t>
  </si>
  <si>
    <t>Revenue Impact</t>
  </si>
  <si>
    <t>Priority</t>
  </si>
  <si>
    <t>AI search replacing discovery</t>
  </si>
  <si>
    <t>High</t>
  </si>
  <si>
    <t>CRITICAL!!!</t>
  </si>
  <si>
    <t>US ARPU compression</t>
  </si>
  <si>
    <t>Medium</t>
  </si>
  <si>
    <t>HIGH</t>
  </si>
  <si>
    <t>TikTok/Meta engagement shift</t>
  </si>
  <si>
    <t>Total</t>
  </si>
  <si>
    <t>International monetization lag</t>
  </si>
  <si>
    <t>MODERATE</t>
  </si>
  <si>
    <t>Regulatory (EU/privacy)</t>
  </si>
  <si>
    <t>Low</t>
  </si>
  <si>
    <t>Scenario Analysis: 2030 Revenue Outcomes</t>
  </si>
  <si>
    <t>Ad tech commoditization</t>
  </si>
  <si>
    <t>LOW</t>
  </si>
  <si>
    <t>Implied CAGR</t>
  </si>
  <si>
    <t>Strategic Options Assessment</t>
  </si>
  <si>
    <t>Strategy</t>
  </si>
  <si>
    <t>Revenue Potential</t>
  </si>
  <si>
    <t>Execution Risk</t>
  </si>
  <si>
    <t>Timeline</t>
  </si>
  <si>
    <t>AI-powered discovery engine</t>
  </si>
  <si>
    <t>12-18 mo</t>
  </si>
  <si>
    <t>International monetization push</t>
  </si>
  <si>
    <t>18-24 mo</t>
  </si>
  <si>
    <t>Monte Carlo Risk Assessment</t>
  </si>
  <si>
    <t>E-commerce / shopping ads</t>
  </si>
  <si>
    <t>Medium-High</t>
  </si>
  <si>
    <t>6-12 mo</t>
  </si>
  <si>
    <t>Value</t>
  </si>
  <si>
    <t>Creator economy &amp; content</t>
  </si>
  <si>
    <t>Expected Revenue (Mean)</t>
  </si>
  <si>
    <t>$4,705M</t>
  </si>
  <si>
    <t>CTV &amp; connected advertising</t>
  </si>
  <si>
    <t>Downside (5th %ile)</t>
  </si>
  <si>
    <t>$3,976M</t>
  </si>
  <si>
    <t>Upside (95th %ile)</t>
  </si>
  <si>
    <t>$5,440M</t>
  </si>
  <si>
    <t>P(Revenue &lt; $4,000M)</t>
  </si>
  <si>
    <t>5.2%</t>
  </si>
  <si>
    <t>P(Revenue &gt; $5,000M)</t>
  </si>
  <si>
    <t>25.3%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</si>
</sst>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.0"/>
    <numFmt numFmtId="166" formatCode="0.0%"/>
    <numFmt numFmtId="167" formatCode="#,##0.0"/>
  </numFmts>
  <fonts count="27">
    <font>
      <sz val="11"/>
      <color theme="1"/>
      <name val="Calibri"/>
      <family val="2"/>
      <charset val="1"/>
    </font>
    <font>
      <b/>
      <sz val="14"/>
      <color rgb="FF1E2761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i/>
      <sz val="9"/>
      <color rgb="FF757575"/>
      <name val="Arial"/>
      <charset val="1"/>
    </font>
    <font>
      <b/>
      <sz val="12"/>
      <color rgb="FF0D47A1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  <font>
      <i/>
      <sz val="10"/>
      <color rgb="FF0D47A1"/>
      <name val="Arial"/>
      <charset val="1"/>
    </font>
    <font>
      <b/>
      <sz val="12"/>
      <color rgb="FFC62828"/>
      <name val="Arial"/>
      <charset val="1"/>
    </font>
    <font>
      <b/>
      <sz val="12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C62828"/>
      <name val="Arial"/>
      <charset val="1"/>
    </font>
    <font>
      <b/>
      <sz val="9"/>
      <name val="Arial"/>
      <charset val="1"/>
    </font>
    <font>
      <b/>
      <sz val="10"/>
      <color rgb="FFFFFFFF"/>
      <name val="Arial"/>
      <charset val="1"/>
    </font>
    <font>
      <i/>
      <sz val="10"/>
      <color rgb="FF2E7D32"/>
      <name val="Arial"/>
      <charset val="1"/>
    </font>
    <font>
      <b/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6"/>
      <color rgb="FFFFFFFF"/>
      <name val="Arial"/>
      <charset val="1"/>
    </font>
    <font>
      <i/>
      <sz val="11"/>
      <color rgb="FF42A5F5"/>
      <name val="Arial"/>
      <charset val="1"/>
    </font>
    <font>
      <b/>
      <sz val="9"/>
      <color rgb="FF757575"/>
      <name val="Arial"/>
      <charset val="1"/>
    </font>
    <font>
      <b/>
      <sz val="16"/>
      <color rgb="FF1E2761"/>
      <name val="Arial"/>
      <charset val="1"/>
    </font>
    <font>
      <sz val="9"/>
      <color rgb="FF2E7D32"/>
      <name val="Arial"/>
      <charset val="1"/>
    </font>
    <font>
      <b/>
      <sz val="10"/>
      <color rgb="FF1565C0"/>
      <name val="Arial"/>
      <charset val="1"/>
    </font>
    <font>
      <b/>
      <sz val="10"/>
      <color rgb="FF1E2761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E2761"/>
        <bgColor rgb="FF0D1B3E"/>
      </patternFill>
    </fill>
    <fill>
      <patternFill patternType="solid">
        <fgColor rgb="FFFFFF00"/>
        <bgColor rgb="FFFFFF00"/>
      </patternFill>
    </fill>
    <fill>
      <patternFill patternType="solid">
        <fgColor rgb="FFE3F2FD"/>
        <bgColor rgb="FFE8F5E9"/>
      </patternFill>
    </fill>
    <fill>
      <patternFill patternType="solid">
        <fgColor rgb="FF1565C0"/>
        <bgColor rgb="FF1976D2"/>
      </patternFill>
    </fill>
    <fill>
      <patternFill patternType="solid">
        <fgColor rgb="FFFFCDD2"/>
        <bgColor rgb="FFD9D9D9"/>
      </patternFill>
    </fill>
    <fill>
      <patternFill patternType="solid">
        <fgColor rgb="FFC8E6C9"/>
        <bgColor rgb="FFD9D9D9"/>
      </patternFill>
    </fill>
    <fill>
      <patternFill patternType="solid">
        <fgColor rgb="FFE8F5E9"/>
        <bgColor rgb="FFE3F2FD"/>
      </patternFill>
    </fill>
    <fill>
      <patternFill patternType="solid">
        <fgColor rgb="FF0D1B3E"/>
        <bgColor rgb="FF1E2761"/>
      </patternFill>
    </fill>
    <fill>
      <patternFill patternType="solid">
        <fgColor rgb="FFC62828"/>
        <bgColor rgb="FF993366"/>
      </patternFill>
    </fill>
    <fill>
      <patternFill patternType="solid">
        <fgColor rgb="FFE65100"/>
        <bgColor rgb="FFC62828"/>
      </patternFill>
    </fill>
    <fill>
      <patternFill patternType="solid">
        <fgColor rgb="FFFDD835"/>
        <bgColor rgb="FFFFFF00"/>
      </patternFill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3" fontId="8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0" fillId="0" borderId="1" xfId="0" applyBorder="1" applyAlignment="1"/>
    <xf numFmtId="164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11" fillId="0" borderId="0" xfId="0" applyFont="1" applyAlignment="1"/>
    <xf numFmtId="0" fontId="12" fillId="3" borderId="0" xfId="0" applyFont="1" applyFill="1" applyAlignment="1"/>
    <xf numFmtId="166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3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5" fontId="9" fillId="0" borderId="1" xfId="0" applyNumberFormat="1" applyFont="1" applyBorder="1" applyAlignment="1"/>
    <xf numFmtId="0" fontId="3" fillId="0" borderId="0" xfId="0" applyFont="1" applyAlignment="1"/>
    <xf numFmtId="165" fontId="4" fillId="0" borderId="0" xfId="0" applyNumberFormat="1" applyFont="1" applyAlignment="1"/>
    <xf numFmtId="166" fontId="9" fillId="0" borderId="0" xfId="0" applyNumberFormat="1" applyFont="1" applyAlignment="1"/>
    <xf numFmtId="166" fontId="14" fillId="0" borderId="1" xfId="0" applyNumberFormat="1" applyFont="1" applyBorder="1" applyAlignment="1">
      <alignment horizontal="center"/>
    </xf>
    <xf numFmtId="0" fontId="15" fillId="0" borderId="1" xfId="0" applyFont="1" applyBorder="1" applyAlignment="1"/>
    <xf numFmtId="166" fontId="2" fillId="2" borderId="1" xfId="0" applyNumberFormat="1" applyFont="1" applyFill="1" applyBorder="1" applyAlignment="1">
      <alignment horizontal="center"/>
    </xf>
    <xf numFmtId="166" fontId="16" fillId="5" borderId="1" xfId="0" applyNumberFormat="1" applyFont="1" applyFill="1" applyBorder="1" applyAlignment="1">
      <alignment horizontal="center"/>
    </xf>
    <xf numFmtId="165" fontId="9" fillId="6" borderId="1" xfId="0" applyNumberFormat="1" applyFont="1" applyFill="1" applyBorder="1" applyAlignment="1">
      <alignment horizontal="center"/>
    </xf>
    <xf numFmtId="165" fontId="9" fillId="7" borderId="1" xfId="0" applyNumberFormat="1" applyFont="1" applyFill="1" applyBorder="1" applyAlignment="1">
      <alignment horizontal="center"/>
    </xf>
    <xf numFmtId="165" fontId="9" fillId="8" borderId="1" xfId="0" applyNumberFormat="1" applyFont="1" applyFill="1" applyBorder="1" applyAlignment="1">
      <alignment horizontal="center"/>
    </xf>
    <xf numFmtId="166" fontId="18" fillId="0" borderId="1" xfId="0" applyNumberFormat="1" applyFont="1" applyBorder="1" applyAlignment="1">
      <alignment horizontal="center"/>
    </xf>
    <xf numFmtId="166" fontId="1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" fillId="13" borderId="1" xfId="0" applyFont="1" applyFill="1" applyBorder="1" applyAlignment="1">
      <alignment horizontal="center" vertical="center" wrapText="1"/>
    </xf>
    <xf numFmtId="165" fontId="2" fillId="13" borderId="1" xfId="0" applyNumberFormat="1" applyFont="1" applyFill="1" applyBorder="1" applyAlignment="1">
      <alignment horizontal="center" vertical="center" wrapText="1"/>
    </xf>
    <xf numFmtId="166" fontId="2" fillId="1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0" fillId="0" borderId="0" xfId="0" applyFont="1" applyBorder="1" applyAlignment="1"/>
    <xf numFmtId="0" fontId="17" fillId="0" borderId="0" xfId="0" applyFont="1" applyBorder="1" applyAlignment="1"/>
    <xf numFmtId="0" fontId="20" fillId="2" borderId="0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2E7D32"/>
      <rgbColor rgb="FFBDBDBD"/>
      <rgbColor rgb="FF878787"/>
      <rgbColor rgb="FF64B5F6"/>
      <rgbColor rgb="FF9C27B0"/>
      <rgbColor rgb="FFF9F9F9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E8F5E9"/>
      <rgbColor rgb="FFC8E6C9"/>
      <rgbColor rgb="FFFFFF99"/>
      <rgbColor rgb="FF90CAF9"/>
      <rgbColor rgb="FFFF99CC"/>
      <rgbColor rgb="FFCC99FF"/>
      <rgbColor rgb="FFFFCDD2"/>
      <rgbColor rgb="FF1976D2"/>
      <rgbColor rgb="FF42A5F5"/>
      <rgbColor rgb="FF99CC00"/>
      <rgbColor rgb="FFFDD835"/>
      <rgbColor rgb="FFF9A825"/>
      <rgbColor rgb="FFE65100"/>
      <rgbColor rgb="FF757575"/>
      <rgbColor rgb="FF969696"/>
      <rgbColor rgb="FF1E2761"/>
      <rgbColor rgb="FF4CAF50"/>
      <rgbColor rgb="FF003300"/>
      <rgbColor rgb="FF333300"/>
      <rgbColor rgb="FFC62828"/>
      <rgbColor rgb="FF993366"/>
      <rgbColor rgb="FF0D47A1"/>
      <rgbColor rgb="FF0D1B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Global MAU Growth (Millions)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'Trend Analysis'!$B$5:$F$5</c:f>
              <c:numCache>
                <c:formatCode>#,##0</c:formatCode>
                <c:ptCount val="5"/>
                <c:pt idx="0">
                  <c:v>431</c:v>
                </c:pt>
                <c:pt idx="1">
                  <c:v>450</c:v>
                </c:pt>
                <c:pt idx="2">
                  <c:v>498</c:v>
                </c:pt>
                <c:pt idx="3">
                  <c:v>553</c:v>
                </c:pt>
                <c:pt idx="4">
                  <c:v>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2-4455-B938-6E863546F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03151"/>
        <c:axId val="30219701"/>
      </c:barChart>
      <c:catAx>
        <c:axId val="34703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19701"/>
        <c:crosses val="autoZero"/>
        <c:auto val="1"/>
        <c:lblAlgn val="ctr"/>
        <c:lblOffset val="100"/>
        <c:noMultiLvlLbl val="0"/>
      </c:catAx>
      <c:valAx>
        <c:axId val="30219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MAUs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03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ARPU by Region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"US &amp; Canada"</c:f>
              <c:strCache>
                <c:ptCount val="1"/>
                <c:pt idx="0">
                  <c:v>US &amp; Canada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Analysis'!$B$16:$F$16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'Trend Analysis'!$B$18:$F$18</c:f>
              <c:numCache>
                <c:formatCode>\$#,##0.00</c:formatCode>
                <c:ptCount val="5"/>
                <c:pt idx="0">
                  <c:v>19.38</c:v>
                </c:pt>
                <c:pt idx="1">
                  <c:v>23.99</c:v>
                </c:pt>
                <c:pt idx="2">
                  <c:v>25.57</c:v>
                </c:pt>
                <c:pt idx="3">
                  <c:v>29.15</c:v>
                </c:pt>
                <c:pt idx="4">
                  <c:v>30.84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3-4013-A55F-2D9610254857}"/>
            </c:ext>
          </c:extLst>
        </c:ser>
        <c:ser>
          <c:idx val="1"/>
          <c:order val="1"/>
          <c:tx>
            <c:strRef>
              <c:f>"Europe"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42A5F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Analysis'!$B$16:$F$16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'Trend Analysis'!$B$19:$F$19</c:f>
              <c:numCache>
                <c:formatCode>\$#,##0.00</c:formatCode>
                <c:ptCount val="5"/>
                <c:pt idx="0">
                  <c:v>2.82</c:v>
                </c:pt>
                <c:pt idx="1">
                  <c:v>3.15</c:v>
                </c:pt>
                <c:pt idx="2">
                  <c:v>3.72</c:v>
                </c:pt>
                <c:pt idx="3">
                  <c:v>4.24</c:v>
                </c:pt>
                <c:pt idx="4">
                  <c:v>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3-4013-A55F-2D9610254857}"/>
            </c:ext>
          </c:extLst>
        </c:ser>
        <c:ser>
          <c:idx val="2"/>
          <c:order val="2"/>
          <c:tx>
            <c:strRef>
              <c:f>"ROW"</c:f>
              <c:strCache>
                <c:ptCount val="1"/>
                <c:pt idx="0">
                  <c:v>ROW</c:v>
                </c:pt>
              </c:strCache>
            </c:strRef>
          </c:tx>
          <c:spPr>
            <a:solidFill>
              <a:srgbClr val="90CAF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Analysis'!$B$16:$F$16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'Trend Analysis'!$B$20:$F$20</c:f>
              <c:numCache>
                <c:formatCode>\$#,##0.00</c:formatCode>
                <c:ptCount val="5"/>
                <c:pt idx="0">
                  <c:v>0.21</c:v>
                </c:pt>
                <c:pt idx="1">
                  <c:v>0.28000000000000003</c:v>
                </c:pt>
                <c:pt idx="2">
                  <c:v>0.5</c:v>
                </c:pt>
                <c:pt idx="3">
                  <c:v>0.59</c:v>
                </c:pt>
                <c:pt idx="4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3-4013-A55F-2D961025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91485"/>
        <c:axId val="79040709"/>
      </c:barChart>
      <c:catAx>
        <c:axId val="628914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40709"/>
        <c:crosses val="autoZero"/>
        <c:auto val="1"/>
        <c:lblAlgn val="ctr"/>
        <c:lblOffset val="100"/>
        <c:noMultiLvlLbl val="0"/>
      </c:catAx>
      <c:valAx>
        <c:axId val="79040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91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Geography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"US &amp; Canada"</c:f>
              <c:strCache>
                <c:ptCount val="1"/>
                <c:pt idx="0">
                  <c:v>US &amp; Canada</c:v>
                </c:pt>
              </c:strCache>
            </c:strRef>
          </c:tx>
          <c:spPr>
            <a:solidFill>
              <a:srgbClr val="0D47A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Analysis'!$B$28:$F$28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'Trend Analysis'!$B$30:$F$30</c:f>
              <c:numCache>
                <c:formatCode>\$#,##0.0</c:formatCode>
                <c:ptCount val="5"/>
                <c:pt idx="0">
                  <c:v>1665</c:v>
                </c:pt>
                <c:pt idx="1">
                  <c:v>2112</c:v>
                </c:pt>
                <c:pt idx="2">
                  <c:v>2327</c:v>
                </c:pt>
                <c:pt idx="3">
                  <c:v>2884</c:v>
                </c:pt>
                <c:pt idx="4">
                  <c:v>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D-4424-A173-444F8C88CF96}"/>
            </c:ext>
          </c:extLst>
        </c:ser>
        <c:ser>
          <c:idx val="1"/>
          <c:order val="1"/>
          <c:tx>
            <c:strRef>
              <c:f>"Europe"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1976D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Analysis'!$B$28:$F$28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'Trend Analysis'!$B$31:$F$31</c:f>
              <c:numCache>
                <c:formatCode>\$#,##0.0</c:formatCode>
                <c:ptCount val="5"/>
                <c:pt idx="0">
                  <c:v>350</c:v>
                </c:pt>
                <c:pt idx="1">
                  <c:v>406</c:v>
                </c:pt>
                <c:pt idx="2">
                  <c:v>506</c:v>
                </c:pt>
                <c:pt idx="3">
                  <c:v>593</c:v>
                </c:pt>
                <c:pt idx="4">
                  <c:v>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D-4424-A173-444F8C88CF96}"/>
            </c:ext>
          </c:extLst>
        </c:ser>
        <c:ser>
          <c:idx val="2"/>
          <c:order val="2"/>
          <c:tx>
            <c:strRef>
              <c:f>"ROW"</c:f>
              <c:strCache>
                <c:ptCount val="1"/>
                <c:pt idx="0">
                  <c:v>ROW</c:v>
                </c:pt>
              </c:strCache>
            </c:strRef>
          </c:tx>
          <c:spPr>
            <a:solidFill>
              <a:srgbClr val="64B5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Analysis'!$B$28:$F$28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'Trend Analysis'!$B$32:$F$32</c:f>
              <c:numCache>
                <c:formatCode>\$#,##0.0</c:formatCode>
                <c:ptCount val="5"/>
                <c:pt idx="0">
                  <c:v>46</c:v>
                </c:pt>
                <c:pt idx="1">
                  <c:v>65</c:v>
                </c:pt>
                <c:pt idx="2">
                  <c:v>136</c:v>
                </c:pt>
                <c:pt idx="3">
                  <c:v>169</c:v>
                </c:pt>
                <c:pt idx="4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D-4424-A173-444F8C88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886990"/>
        <c:axId val="4530785"/>
      </c:barChart>
      <c:catAx>
        <c:axId val="71886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0785"/>
        <c:crosses val="autoZero"/>
        <c:auto val="1"/>
        <c:lblAlgn val="ctr"/>
        <c:lblOffset val="100"/>
        <c:noMultiLvlLbl val="0"/>
      </c:catAx>
      <c:valAx>
        <c:axId val="4530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886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Monte Carlo Revenue Distribution (1,000 Simulations)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'Monte Carlo Simulation'!B32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B1F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 Simulation'!$A$33:$A$50</c:f>
              <c:strCache>
                <c:ptCount val="18"/>
                <c:pt idx="0">
                  <c:v>$2,500–$2,750</c:v>
                </c:pt>
                <c:pt idx="1">
                  <c:v>$2,750–$3,000</c:v>
                </c:pt>
                <c:pt idx="2">
                  <c:v>$3,000–$3,250</c:v>
                </c:pt>
                <c:pt idx="3">
                  <c:v>$3,250–$3,500</c:v>
                </c:pt>
                <c:pt idx="4">
                  <c:v>$3,500–$3,750</c:v>
                </c:pt>
                <c:pt idx="5">
                  <c:v>$3,750–$4,000</c:v>
                </c:pt>
                <c:pt idx="6">
                  <c:v>$4,000–$4,250</c:v>
                </c:pt>
                <c:pt idx="7">
                  <c:v>$4,250–$4,500</c:v>
                </c:pt>
                <c:pt idx="8">
                  <c:v>$4,500–$4,750</c:v>
                </c:pt>
                <c:pt idx="9">
                  <c:v>$4,750–$5,000</c:v>
                </c:pt>
                <c:pt idx="10">
                  <c:v>$5,000–$5,250</c:v>
                </c:pt>
                <c:pt idx="11">
                  <c:v>$5,250–$5,500</c:v>
                </c:pt>
                <c:pt idx="12">
                  <c:v>$5,500–$5,750</c:v>
                </c:pt>
                <c:pt idx="13">
                  <c:v>$5,750–$6,000</c:v>
                </c:pt>
                <c:pt idx="14">
                  <c:v>$6,000–$6,250</c:v>
                </c:pt>
                <c:pt idx="15">
                  <c:v>$6,250–$6,500</c:v>
                </c:pt>
                <c:pt idx="16">
                  <c:v>$6,500–$6,750</c:v>
                </c:pt>
                <c:pt idx="17">
                  <c:v>$6,750–$7,000</c:v>
                </c:pt>
              </c:strCache>
            </c:strRef>
          </c:cat>
          <c:val>
            <c:numRef>
              <c:f>'Monte Carlo Simulation'!$B$33:$B$50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12</c:v>
                </c:pt>
                <c:pt idx="5">
                  <c:v>38</c:v>
                </c:pt>
                <c:pt idx="6">
                  <c:v>98</c:v>
                </c:pt>
                <c:pt idx="7">
                  <c:v>174</c:v>
                </c:pt>
                <c:pt idx="8">
                  <c:v>228</c:v>
                </c:pt>
                <c:pt idx="9">
                  <c:v>195</c:v>
                </c:pt>
                <c:pt idx="10">
                  <c:v>149</c:v>
                </c:pt>
                <c:pt idx="11">
                  <c:v>65</c:v>
                </c:pt>
                <c:pt idx="12">
                  <c:v>27</c:v>
                </c:pt>
                <c:pt idx="13">
                  <c:v>10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9-45D2-AB26-FF8FE4329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139462"/>
        <c:axId val="34429770"/>
      </c:barChart>
      <c:catAx>
        <c:axId val="89139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29770"/>
        <c:crosses val="autoZero"/>
        <c:auto val="1"/>
        <c:lblAlgn val="ctr"/>
        <c:lblOffset val="100"/>
        <c:noMultiLvlLbl val="0"/>
      </c:catAx>
      <c:valAx>
        <c:axId val="34429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39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Trajectory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Analysis'!$B$28:$F$28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'Trend Analysis'!$B$29:$F$29</c:f>
              <c:numCache>
                <c:formatCode>\$#,##0.0</c:formatCode>
                <c:ptCount val="5"/>
                <c:pt idx="0">
                  <c:v>2578</c:v>
                </c:pt>
                <c:pt idx="1">
                  <c:v>2803</c:v>
                </c:pt>
                <c:pt idx="2">
                  <c:v>3055</c:v>
                </c:pt>
                <c:pt idx="3">
                  <c:v>3646</c:v>
                </c:pt>
                <c:pt idx="4">
                  <c:v>4222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A6-49AA-85EB-1CB7FE00E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066712"/>
        <c:axId val="81957297"/>
      </c:lineChart>
      <c:catAx>
        <c:axId val="65066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57297"/>
        <c:crosses val="autoZero"/>
        <c:auto val="1"/>
        <c:lblAlgn val="ctr"/>
        <c:lblOffset val="100"/>
        <c:noMultiLvlLbl val="0"/>
      </c:catAx>
      <c:valAx>
        <c:axId val="81957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667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2030 Revenue by Scenario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Dashboard!B16</c:f>
              <c:strCache>
                <c:ptCount val="1"/>
                <c:pt idx="0">
                  <c:v>2030E Revenue ($M)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Dashboard!$A$17:$A$19</c:f>
              <c:strCache>
                <c:ptCount val="3"/>
                <c:pt idx="0">
                  <c:v>Base Case</c:v>
                </c:pt>
                <c:pt idx="1">
                  <c:v>AI Disruption</c:v>
                </c:pt>
                <c:pt idx="2">
                  <c:v>AI Integration</c:v>
                </c:pt>
              </c:strCache>
            </c:strRef>
          </c:cat>
          <c:val>
            <c:numRef>
              <c:f>Dashboard!$B$17:$B$19</c:f>
              <c:numCache>
                <c:formatCode>\$#,##0.0</c:formatCode>
                <c:ptCount val="3"/>
                <c:pt idx="0">
                  <c:v>11882.4225301776</c:v>
                </c:pt>
                <c:pt idx="1">
                  <c:v>4784.5525440723704</c:v>
                </c:pt>
                <c:pt idx="2">
                  <c:v>19060.290342997399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6-428A-AA79-1630FD33E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28227"/>
        <c:axId val="63861524"/>
      </c:barChart>
      <c:catAx>
        <c:axId val="689282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61524"/>
        <c:crosses val="autoZero"/>
        <c:auto val="1"/>
        <c:lblAlgn val="ctr"/>
        <c:lblOffset val="100"/>
        <c:noMultiLvlLbl val="0"/>
      </c:catAx>
      <c:valAx>
        <c:axId val="63861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928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189135</xdr:rowOff>
    </xdr:from>
    <xdr:to>
      <xdr:col>18</xdr:col>
      <xdr:colOff>364320</xdr:colOff>
      <xdr:row>21</xdr:row>
      <xdr:rowOff>168975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23</xdr:row>
      <xdr:rowOff>189495</xdr:rowOff>
    </xdr:from>
    <xdr:to>
      <xdr:col>18</xdr:col>
      <xdr:colOff>364320</xdr:colOff>
      <xdr:row>42</xdr:row>
      <xdr:rowOff>168975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44</xdr:row>
      <xdr:rowOff>179610</xdr:rowOff>
    </xdr:from>
    <xdr:to>
      <xdr:col>18</xdr:col>
      <xdr:colOff>364320</xdr:colOff>
      <xdr:row>63</xdr:row>
      <xdr:rowOff>159450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160560</xdr:rowOff>
    </xdr:from>
    <xdr:to>
      <xdr:col>15</xdr:col>
      <xdr:colOff>442080</xdr:colOff>
      <xdr:row>34</xdr:row>
      <xdr:rowOff>98280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27</xdr:row>
      <xdr:rowOff>144180</xdr:rowOff>
    </xdr:from>
    <xdr:to>
      <xdr:col>4</xdr:col>
      <xdr:colOff>989220</xdr:colOff>
      <xdr:row>42</xdr:row>
      <xdr:rowOff>166140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1381125</xdr:colOff>
      <xdr:row>27</xdr:row>
      <xdr:rowOff>134655</xdr:rowOff>
    </xdr:from>
    <xdr:to>
      <xdr:col>9</xdr:col>
      <xdr:colOff>183465</xdr:colOff>
      <xdr:row>42</xdr:row>
      <xdr:rowOff>156615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700-000005000000}"/>
            </a:ext>
            <a:ext uri="{147F2762-F138-4A5C-976F-8EAC2B608ADB}">
              <a16:predDERef xmlns:a16="http://schemas.microsoft.com/office/drawing/2014/main" pre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A1:F33"/>
  <sheetViews>
    <sheetView zoomScaleNormal="100" workbookViewId="0">
      <selection sqref="A1:F1"/>
    </sheetView>
  </sheetViews>
  <sheetFormatPr defaultColWidth="8.7109375" defaultRowHeight="15"/>
  <cols>
    <col min="1" max="1" width="32" style="1" customWidth="1"/>
    <col min="2" max="6" width="14" style="1" customWidth="1"/>
  </cols>
  <sheetData>
    <row r="1" spans="1:6" ht="17.25" customHeight="1">
      <c r="A1" s="63" t="s">
        <v>0</v>
      </c>
      <c r="B1" s="63"/>
      <c r="C1" s="63"/>
      <c r="D1" s="63"/>
      <c r="E1" s="63"/>
      <c r="F1" s="63"/>
    </row>
    <row r="3" spans="1:6" ht="1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5" customHeight="1">
      <c r="A4" s="4" t="s">
        <v>7</v>
      </c>
      <c r="B4" s="5">
        <v>431</v>
      </c>
      <c r="C4" s="5">
        <v>450</v>
      </c>
      <c r="D4" s="5">
        <v>498</v>
      </c>
      <c r="E4" s="5">
        <v>553</v>
      </c>
      <c r="F4" s="5">
        <v>619</v>
      </c>
    </row>
    <row r="5" spans="1:6" ht="15" customHeight="1">
      <c r="A5" s="4" t="s">
        <v>8</v>
      </c>
      <c r="B5" s="5">
        <v>86</v>
      </c>
      <c r="C5" s="5">
        <v>88</v>
      </c>
      <c r="D5" s="5">
        <v>91</v>
      </c>
      <c r="E5" s="5">
        <v>99</v>
      </c>
      <c r="F5" s="5">
        <v>103</v>
      </c>
    </row>
    <row r="6" spans="1:6" ht="15" customHeight="1">
      <c r="A6" s="4" t="s">
        <v>9</v>
      </c>
      <c r="B6" s="5">
        <v>124</v>
      </c>
      <c r="C6" s="5">
        <v>129</v>
      </c>
      <c r="D6" s="5">
        <v>136</v>
      </c>
      <c r="E6" s="5">
        <v>140</v>
      </c>
      <c r="F6" s="5">
        <v>151</v>
      </c>
    </row>
    <row r="7" spans="1:6" ht="15" customHeight="1">
      <c r="A7" s="4" t="s">
        <v>10</v>
      </c>
      <c r="B7" s="5">
        <v>221</v>
      </c>
      <c r="C7" s="5">
        <v>233</v>
      </c>
      <c r="D7" s="5">
        <v>271</v>
      </c>
      <c r="E7" s="5">
        <v>314</v>
      </c>
      <c r="F7" s="5">
        <v>365</v>
      </c>
    </row>
    <row r="8" spans="1:6" ht="15" customHeight="1">
      <c r="A8" s="6"/>
      <c r="B8" s="7"/>
      <c r="C8" s="7"/>
      <c r="D8" s="7"/>
      <c r="E8" s="7"/>
      <c r="F8" s="7"/>
    </row>
    <row r="9" spans="1:6" ht="15" customHeight="1">
      <c r="A9" s="4" t="s">
        <v>11</v>
      </c>
      <c r="B9" s="8">
        <v>19.38</v>
      </c>
      <c r="C9" s="8">
        <v>23.99</v>
      </c>
      <c r="D9" s="8">
        <v>25.57</v>
      </c>
      <c r="E9" s="8">
        <v>29.15</v>
      </c>
      <c r="F9" s="8">
        <v>30.84</v>
      </c>
    </row>
    <row r="10" spans="1:6" ht="15" customHeight="1">
      <c r="A10" s="4" t="s">
        <v>12</v>
      </c>
      <c r="B10" s="8">
        <v>2.82</v>
      </c>
      <c r="C10" s="8">
        <v>3.15</v>
      </c>
      <c r="D10" s="8">
        <v>3.72</v>
      </c>
      <c r="E10" s="8">
        <v>4.24</v>
      </c>
      <c r="F10" s="8">
        <v>5.12</v>
      </c>
    </row>
    <row r="11" spans="1:6" ht="15" customHeight="1">
      <c r="A11" s="4" t="s">
        <v>13</v>
      </c>
      <c r="B11" s="8">
        <v>0.21</v>
      </c>
      <c r="C11" s="8">
        <v>0.28000000000000003</v>
      </c>
      <c r="D11" s="8">
        <v>0.5</v>
      </c>
      <c r="E11" s="8">
        <v>0.59</v>
      </c>
      <c r="F11" s="8">
        <v>0.83</v>
      </c>
    </row>
    <row r="12" spans="1:6" ht="15" customHeight="1">
      <c r="A12" s="4" t="s">
        <v>14</v>
      </c>
      <c r="B12" s="8">
        <v>4.83</v>
      </c>
      <c r="C12" s="8">
        <v>5.46</v>
      </c>
      <c r="D12" s="8">
        <v>6.43</v>
      </c>
      <c r="E12" s="8">
        <v>6.94</v>
      </c>
      <c r="F12" s="8">
        <v>7.21</v>
      </c>
    </row>
    <row r="13" spans="1:6" ht="15" customHeight="1">
      <c r="A13" s="6"/>
      <c r="B13" s="7"/>
      <c r="C13" s="7"/>
      <c r="D13" s="7"/>
      <c r="E13" s="7"/>
      <c r="F13" s="7"/>
    </row>
    <row r="14" spans="1:6" ht="15" customHeight="1">
      <c r="A14" s="4" t="s">
        <v>15</v>
      </c>
      <c r="B14" s="9">
        <v>2578</v>
      </c>
      <c r="C14" s="9">
        <v>2803</v>
      </c>
      <c r="D14" s="9">
        <v>3055</v>
      </c>
      <c r="E14" s="9">
        <v>3646</v>
      </c>
      <c r="F14" s="9">
        <v>4222</v>
      </c>
    </row>
    <row r="15" spans="1:6" ht="15" customHeight="1">
      <c r="A15" s="4" t="s">
        <v>16</v>
      </c>
      <c r="B15" s="9">
        <v>1665</v>
      </c>
      <c r="C15" s="9">
        <v>2112</v>
      </c>
      <c r="D15" s="9">
        <v>2327</v>
      </c>
      <c r="E15" s="9">
        <v>2884</v>
      </c>
      <c r="F15" s="9">
        <v>3173</v>
      </c>
    </row>
    <row r="16" spans="1:6" ht="15" customHeight="1">
      <c r="A16" s="4" t="s">
        <v>17</v>
      </c>
      <c r="B16" s="9">
        <v>350</v>
      </c>
      <c r="C16" s="9">
        <v>406</v>
      </c>
      <c r="D16" s="9">
        <v>506</v>
      </c>
      <c r="E16" s="9">
        <v>593</v>
      </c>
      <c r="F16" s="9">
        <v>775</v>
      </c>
    </row>
    <row r="17" spans="1:6" ht="15" customHeight="1">
      <c r="A17" s="4" t="s">
        <v>18</v>
      </c>
      <c r="B17" s="9">
        <v>46</v>
      </c>
      <c r="C17" s="9">
        <v>65</v>
      </c>
      <c r="D17" s="9">
        <v>136</v>
      </c>
      <c r="E17" s="9">
        <v>169</v>
      </c>
      <c r="F17" s="9">
        <v>274</v>
      </c>
    </row>
    <row r="18" spans="1:6" ht="15" customHeight="1">
      <c r="A18" s="6"/>
      <c r="B18" s="7"/>
      <c r="C18" s="7"/>
      <c r="D18" s="7"/>
      <c r="E18" s="7"/>
      <c r="F18" s="7"/>
    </row>
    <row r="19" spans="1:6" ht="15" customHeight="1">
      <c r="A19" s="4" t="s">
        <v>19</v>
      </c>
      <c r="B19" s="9">
        <v>510</v>
      </c>
      <c r="C19" s="9">
        <v>679</v>
      </c>
      <c r="D19" s="9">
        <v>689</v>
      </c>
      <c r="E19" s="9">
        <v>750</v>
      </c>
      <c r="F19" s="9">
        <v>842</v>
      </c>
    </row>
    <row r="20" spans="1:6" ht="15" customHeight="1">
      <c r="A20" s="4" t="s">
        <v>20</v>
      </c>
      <c r="B20" s="9">
        <v>755</v>
      </c>
      <c r="C20" s="9">
        <v>949</v>
      </c>
      <c r="D20" s="9">
        <v>1068</v>
      </c>
      <c r="E20" s="9">
        <v>1241</v>
      </c>
      <c r="F20" s="9">
        <v>1427</v>
      </c>
    </row>
    <row r="21" spans="1:6" ht="15" customHeight="1">
      <c r="A21" s="4" t="s">
        <v>21</v>
      </c>
      <c r="B21" s="9">
        <v>702</v>
      </c>
      <c r="C21" s="9">
        <v>933</v>
      </c>
      <c r="D21" s="9">
        <v>911</v>
      </c>
      <c r="E21" s="9">
        <v>1012</v>
      </c>
      <c r="F21" s="9">
        <v>1167</v>
      </c>
    </row>
    <row r="22" spans="1:6" ht="15" customHeight="1">
      <c r="A22" s="4" t="s">
        <v>22</v>
      </c>
      <c r="B22" s="9">
        <v>257</v>
      </c>
      <c r="C22" s="9">
        <v>344</v>
      </c>
      <c r="D22" s="9">
        <v>512</v>
      </c>
      <c r="E22" s="9">
        <v>464</v>
      </c>
      <c r="F22" s="9">
        <v>466</v>
      </c>
    </row>
    <row r="23" spans="1:6" ht="15" customHeight="1">
      <c r="A23" s="4" t="s">
        <v>23</v>
      </c>
      <c r="B23" s="9">
        <v>2224</v>
      </c>
      <c r="C23" s="9">
        <v>2905</v>
      </c>
      <c r="D23" s="9">
        <v>3181</v>
      </c>
      <c r="E23" s="9">
        <v>3466</v>
      </c>
      <c r="F23" s="9">
        <v>3902</v>
      </c>
    </row>
    <row r="24" spans="1:6" ht="15" customHeight="1">
      <c r="A24" s="4" t="s">
        <v>24</v>
      </c>
      <c r="B24" s="9">
        <v>354</v>
      </c>
      <c r="C24" s="9">
        <v>-102</v>
      </c>
      <c r="D24" s="9">
        <v>-126</v>
      </c>
      <c r="E24" s="9">
        <v>180</v>
      </c>
      <c r="F24" s="9">
        <v>320</v>
      </c>
    </row>
    <row r="25" spans="1:6" ht="15" customHeight="1">
      <c r="A25" s="4" t="s">
        <v>25</v>
      </c>
      <c r="B25" s="9">
        <v>316</v>
      </c>
      <c r="C25" s="9">
        <v>-96</v>
      </c>
      <c r="D25" s="9">
        <v>-36</v>
      </c>
      <c r="E25" s="9">
        <v>1862</v>
      </c>
      <c r="F25" s="9">
        <v>417</v>
      </c>
    </row>
    <row r="26" spans="1:6" ht="15" customHeight="1">
      <c r="A26" s="4" t="s">
        <v>26</v>
      </c>
      <c r="B26" s="9">
        <v>557</v>
      </c>
      <c r="C26" s="9">
        <v>461</v>
      </c>
      <c r="D26" s="9">
        <v>708</v>
      </c>
      <c r="E26" s="9">
        <v>1032</v>
      </c>
      <c r="F26" s="9">
        <v>1270</v>
      </c>
    </row>
    <row r="27" spans="1:6" ht="15" customHeight="1">
      <c r="A27" s="6"/>
      <c r="B27" s="7"/>
      <c r="C27" s="7"/>
      <c r="D27" s="7"/>
      <c r="E27" s="7"/>
      <c r="F27" s="7"/>
    </row>
    <row r="28" spans="1:6" ht="15" customHeight="1">
      <c r="A28" s="4" t="s">
        <v>27</v>
      </c>
      <c r="B28" s="9">
        <v>345</v>
      </c>
      <c r="C28" s="9">
        <v>497</v>
      </c>
      <c r="D28" s="9">
        <v>648</v>
      </c>
      <c r="E28" s="9">
        <v>766</v>
      </c>
      <c r="F28" s="9">
        <v>880</v>
      </c>
    </row>
    <row r="29" spans="1:6" ht="15" customHeight="1">
      <c r="A29" s="4" t="s">
        <v>28</v>
      </c>
      <c r="B29" s="9">
        <v>562</v>
      </c>
      <c r="C29" s="9">
        <v>278</v>
      </c>
      <c r="D29" s="9">
        <v>567</v>
      </c>
      <c r="E29" s="9">
        <v>940</v>
      </c>
      <c r="F29" s="9">
        <v>1252</v>
      </c>
    </row>
    <row r="30" spans="1:6" ht="15" customHeight="1">
      <c r="A30" s="4" t="s">
        <v>29</v>
      </c>
      <c r="B30" s="5">
        <v>3209</v>
      </c>
      <c r="C30" s="5">
        <v>3883</v>
      </c>
      <c r="D30" s="5">
        <v>3991</v>
      </c>
      <c r="E30" s="5">
        <v>4666</v>
      </c>
      <c r="F30" s="5">
        <v>5265</v>
      </c>
    </row>
    <row r="32" spans="1:6" ht="15" customHeight="1">
      <c r="A32" s="10" t="s">
        <v>30</v>
      </c>
    </row>
    <row r="33" spans="1:1" ht="15" customHeight="1">
      <c r="A33" s="10" t="s">
        <v>31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G41"/>
  <sheetViews>
    <sheetView zoomScaleNormal="100" workbookViewId="0">
      <selection sqref="A1:G1"/>
    </sheetView>
  </sheetViews>
  <sheetFormatPr defaultColWidth="8.7109375" defaultRowHeight="15"/>
  <cols>
    <col min="1" max="1" width="32" style="1" customWidth="1"/>
    <col min="2" max="6" width="14" style="1" customWidth="1"/>
    <col min="7" max="7" width="16" style="1" customWidth="1"/>
  </cols>
  <sheetData>
    <row r="1" spans="1:7" ht="17.25" customHeight="1">
      <c r="A1" s="63" t="s">
        <v>32</v>
      </c>
      <c r="B1" s="63"/>
      <c r="C1" s="63"/>
      <c r="D1" s="63"/>
      <c r="E1" s="63"/>
      <c r="F1" s="63"/>
      <c r="G1" s="63"/>
    </row>
    <row r="3" spans="1:7" ht="15" customHeight="1">
      <c r="A3" s="11" t="s">
        <v>33</v>
      </c>
    </row>
    <row r="4" spans="1:7" ht="1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34</v>
      </c>
    </row>
    <row r="5" spans="1:7" ht="15" customHeight="1">
      <c r="A5" s="4" t="s">
        <v>7</v>
      </c>
      <c r="B5" s="12">
        <f>'Raw Data'!B4</f>
        <v>431</v>
      </c>
      <c r="C5" s="12">
        <f>'Raw Data'!C4</f>
        <v>450</v>
      </c>
      <c r="D5" s="12">
        <f>'Raw Data'!D4</f>
        <v>498</v>
      </c>
      <c r="E5" s="12">
        <f>'Raw Data'!E4</f>
        <v>553</v>
      </c>
      <c r="F5" s="12">
        <f>'Raw Data'!F4</f>
        <v>619</v>
      </c>
      <c r="G5" s="13">
        <f>(F5/B5)^(1/4)-1</f>
        <v>9.4720736569582797E-2</v>
      </c>
    </row>
    <row r="6" spans="1:7" ht="15" customHeight="1">
      <c r="A6" s="4" t="s">
        <v>8</v>
      </c>
      <c r="B6" s="12">
        <f>'Raw Data'!B5</f>
        <v>86</v>
      </c>
      <c r="C6" s="12">
        <f>'Raw Data'!C5</f>
        <v>88</v>
      </c>
      <c r="D6" s="12">
        <f>'Raw Data'!D5</f>
        <v>91</v>
      </c>
      <c r="E6" s="12">
        <f>'Raw Data'!E5</f>
        <v>99</v>
      </c>
      <c r="F6" s="12">
        <f>'Raw Data'!F5</f>
        <v>103</v>
      </c>
      <c r="G6" s="13">
        <f>(F6/B6)^(1/4)-1</f>
        <v>4.6127679781430064E-2</v>
      </c>
    </row>
    <row r="7" spans="1:7" ht="15" customHeight="1">
      <c r="A7" s="4" t="s">
        <v>9</v>
      </c>
      <c r="B7" s="12">
        <f>'Raw Data'!B6</f>
        <v>124</v>
      </c>
      <c r="C7" s="12">
        <f>'Raw Data'!C6</f>
        <v>129</v>
      </c>
      <c r="D7" s="12">
        <f>'Raw Data'!D6</f>
        <v>136</v>
      </c>
      <c r="E7" s="12">
        <f>'Raw Data'!E6</f>
        <v>140</v>
      </c>
      <c r="F7" s="12">
        <f>'Raw Data'!F6</f>
        <v>151</v>
      </c>
      <c r="G7" s="13">
        <f>(F7/B7)^(1/4)-1</f>
        <v>5.0482484633803004E-2</v>
      </c>
    </row>
    <row r="8" spans="1:7" ht="15" customHeight="1">
      <c r="A8" s="4" t="s">
        <v>35</v>
      </c>
      <c r="B8" s="12">
        <f>'Raw Data'!B7</f>
        <v>221</v>
      </c>
      <c r="C8" s="12">
        <f>'Raw Data'!C7</f>
        <v>233</v>
      </c>
      <c r="D8" s="12">
        <f>'Raw Data'!D7</f>
        <v>271</v>
      </c>
      <c r="E8" s="12">
        <f>'Raw Data'!E7</f>
        <v>314</v>
      </c>
      <c r="F8" s="12">
        <f>'Raw Data'!F7</f>
        <v>365</v>
      </c>
      <c r="G8" s="13">
        <f>(F8/B8)^(1/4)-1</f>
        <v>0.13363996421016777</v>
      </c>
    </row>
    <row r="9" spans="1:7" ht="15" customHeight="1">
      <c r="A9" s="6"/>
    </row>
    <row r="10" spans="1:7" ht="15" customHeight="1">
      <c r="A10" s="4" t="s">
        <v>36</v>
      </c>
      <c r="B10" s="7" t="s">
        <v>37</v>
      </c>
      <c r="C10" s="13">
        <f>(C5-B5)/B5</f>
        <v>4.4083526682134569E-2</v>
      </c>
      <c r="D10" s="13">
        <f>(D5-C5)/C5</f>
        <v>0.10666666666666667</v>
      </c>
      <c r="E10" s="13">
        <f>(E5-D5)/D5</f>
        <v>0.11044176706827309</v>
      </c>
      <c r="F10" s="13">
        <f>(F5-E5)/E5</f>
        <v>0.11934900542495479</v>
      </c>
      <c r="G10" s="14"/>
    </row>
    <row r="11" spans="1:7" ht="15" customHeight="1">
      <c r="A11" s="4" t="s">
        <v>38</v>
      </c>
      <c r="B11" s="7" t="s">
        <v>37</v>
      </c>
      <c r="C11" s="13">
        <f>(C6-B6)/B6</f>
        <v>2.3255813953488372E-2</v>
      </c>
      <c r="D11" s="13">
        <f>(D6-C6)/C6</f>
        <v>3.4090909090909088E-2</v>
      </c>
      <c r="E11" s="13">
        <f>(E6-D6)/D6</f>
        <v>8.7912087912087919E-2</v>
      </c>
      <c r="F11" s="13">
        <f>(F6-E6)/E6</f>
        <v>4.0404040404040407E-2</v>
      </c>
      <c r="G11" s="14"/>
    </row>
    <row r="12" spans="1:7" ht="15" customHeight="1">
      <c r="A12" s="4" t="s">
        <v>39</v>
      </c>
      <c r="B12" s="7" t="s">
        <v>37</v>
      </c>
      <c r="C12" s="13">
        <f>(C7-B7)/B7</f>
        <v>4.0322580645161289E-2</v>
      </c>
      <c r="D12" s="13">
        <f>(D7-C7)/C7</f>
        <v>5.4263565891472867E-2</v>
      </c>
      <c r="E12" s="13">
        <f>(E7-D7)/D7</f>
        <v>2.9411764705882353E-2</v>
      </c>
      <c r="F12" s="13">
        <f>(F7-E7)/E7</f>
        <v>7.857142857142857E-2</v>
      </c>
      <c r="G12" s="14"/>
    </row>
    <row r="13" spans="1:7" ht="15" customHeight="1">
      <c r="A13" s="4" t="s">
        <v>40</v>
      </c>
      <c r="B13" s="7" t="s">
        <v>37</v>
      </c>
      <c r="C13" s="13">
        <f>(C8-B8)/B8</f>
        <v>5.4298642533936653E-2</v>
      </c>
      <c r="D13" s="13">
        <f>(D8-C8)/C8</f>
        <v>0.1630901287553648</v>
      </c>
      <c r="E13" s="13">
        <f>(E8-D8)/D8</f>
        <v>0.15867158671586715</v>
      </c>
      <c r="F13" s="13">
        <f>(F8-E8)/E8</f>
        <v>0.16242038216560509</v>
      </c>
      <c r="G13" s="14"/>
    </row>
    <row r="15" spans="1:7" ht="15" customHeight="1">
      <c r="A15" s="11" t="s">
        <v>41</v>
      </c>
    </row>
    <row r="16" spans="1:7" ht="15" customHeight="1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34</v>
      </c>
    </row>
    <row r="17" spans="1:7" ht="15" customHeight="1">
      <c r="A17" s="4" t="s">
        <v>14</v>
      </c>
      <c r="B17" s="15">
        <f>'Raw Data'!B12</f>
        <v>4.83</v>
      </c>
      <c r="C17" s="15">
        <f>'Raw Data'!C12</f>
        <v>5.46</v>
      </c>
      <c r="D17" s="15">
        <f>'Raw Data'!D12</f>
        <v>6.43</v>
      </c>
      <c r="E17" s="15">
        <f>'Raw Data'!E12</f>
        <v>6.94</v>
      </c>
      <c r="F17" s="15">
        <f>'Raw Data'!F12</f>
        <v>7.21</v>
      </c>
      <c r="G17" s="13">
        <f>(F17/B17)^(1/4)-1</f>
        <v>0.10534291916065319</v>
      </c>
    </row>
    <row r="18" spans="1:7" ht="15" customHeight="1">
      <c r="A18" s="4" t="s">
        <v>11</v>
      </c>
      <c r="B18" s="15">
        <f>'Raw Data'!B9</f>
        <v>19.38</v>
      </c>
      <c r="C18" s="15">
        <f>'Raw Data'!C9</f>
        <v>23.99</v>
      </c>
      <c r="D18" s="15">
        <f>'Raw Data'!D9</f>
        <v>25.57</v>
      </c>
      <c r="E18" s="15">
        <f>'Raw Data'!E9</f>
        <v>29.15</v>
      </c>
      <c r="F18" s="15">
        <f>'Raw Data'!F9</f>
        <v>30.84</v>
      </c>
      <c r="G18" s="13">
        <f>(F18/B18)^(1/4)-1</f>
        <v>0.12315617501602683</v>
      </c>
    </row>
    <row r="19" spans="1:7" ht="15" customHeight="1">
      <c r="A19" s="4" t="s">
        <v>12</v>
      </c>
      <c r="B19" s="15">
        <f>'Raw Data'!B10</f>
        <v>2.82</v>
      </c>
      <c r="C19" s="15">
        <f>'Raw Data'!C10</f>
        <v>3.15</v>
      </c>
      <c r="D19" s="15">
        <f>'Raw Data'!D10</f>
        <v>3.72</v>
      </c>
      <c r="E19" s="15">
        <f>'Raw Data'!E10</f>
        <v>4.24</v>
      </c>
      <c r="F19" s="15">
        <f>'Raw Data'!F10</f>
        <v>5.12</v>
      </c>
      <c r="G19" s="13">
        <f>(F19/B19)^(1/4)-1</f>
        <v>0.16079415647496709</v>
      </c>
    </row>
    <row r="20" spans="1:7" ht="15" customHeight="1">
      <c r="A20" s="4" t="s">
        <v>42</v>
      </c>
      <c r="B20" s="15">
        <f>'Raw Data'!B11</f>
        <v>0.21</v>
      </c>
      <c r="C20" s="15">
        <f>'Raw Data'!C11</f>
        <v>0.28000000000000003</v>
      </c>
      <c r="D20" s="15">
        <f>'Raw Data'!D11</f>
        <v>0.5</v>
      </c>
      <c r="E20" s="15">
        <f>'Raw Data'!E11</f>
        <v>0.59</v>
      </c>
      <c r="F20" s="15">
        <f>'Raw Data'!F11</f>
        <v>0.83</v>
      </c>
      <c r="G20" s="13">
        <f>(F20/B20)^(1/4)-1</f>
        <v>0.40998567183358636</v>
      </c>
    </row>
    <row r="22" spans="1:7" ht="15" customHeight="1">
      <c r="A22" s="4" t="s">
        <v>43</v>
      </c>
      <c r="B22" s="7" t="s">
        <v>37</v>
      </c>
      <c r="C22" s="13">
        <f>(C17-B17)/B17</f>
        <v>0.13043478260869562</v>
      </c>
      <c r="D22" s="13">
        <f>(D17-C17)/C17</f>
        <v>0.17765567765567761</v>
      </c>
      <c r="E22" s="13">
        <f>(E17-D17)/D17</f>
        <v>7.9315707620528877E-2</v>
      </c>
      <c r="F22" s="13">
        <f>(F17-E17)/E17</f>
        <v>3.8904899135446619E-2</v>
      </c>
      <c r="G22" s="14"/>
    </row>
    <row r="23" spans="1:7" ht="15" customHeight="1">
      <c r="A23" s="4" t="s">
        <v>44</v>
      </c>
      <c r="B23" s="7" t="s">
        <v>37</v>
      </c>
      <c r="C23" s="13">
        <f>(C18-B18)/B18</f>
        <v>0.23787409700722392</v>
      </c>
      <c r="D23" s="13">
        <f>(D18-C18)/C18</f>
        <v>6.5860775323051346E-2</v>
      </c>
      <c r="E23" s="13">
        <f>(E18-D18)/D18</f>
        <v>0.1400078216660148</v>
      </c>
      <c r="F23" s="13">
        <f>(F18-E18)/E18</f>
        <v>5.7975986277873114E-2</v>
      </c>
      <c r="G23" s="14"/>
    </row>
    <row r="24" spans="1:7" ht="15" customHeight="1">
      <c r="A24" s="4" t="s">
        <v>45</v>
      </c>
      <c r="B24" s="7" t="s">
        <v>37</v>
      </c>
      <c r="C24" s="13">
        <f>(C19-B19)/B19</f>
        <v>0.11702127659574471</v>
      </c>
      <c r="D24" s="13">
        <f>(D19-C19)/C19</f>
        <v>0.18095238095238106</v>
      </c>
      <c r="E24" s="13">
        <f>(E19-D19)/D19</f>
        <v>0.13978494623655913</v>
      </c>
      <c r="F24" s="13">
        <f>(F19-E19)/E19</f>
        <v>0.20754716981132071</v>
      </c>
      <c r="G24" s="14"/>
    </row>
    <row r="25" spans="1:7" ht="15" customHeight="1">
      <c r="A25" s="4" t="s">
        <v>46</v>
      </c>
      <c r="B25" s="7" t="s">
        <v>37</v>
      </c>
      <c r="C25" s="13">
        <f>(C20-B20)/B20</f>
        <v>0.33333333333333354</v>
      </c>
      <c r="D25" s="13">
        <f>(D20-C20)/C20</f>
        <v>0.78571428571428559</v>
      </c>
      <c r="E25" s="13">
        <f>(E20-D20)/D20</f>
        <v>0.17999999999999994</v>
      </c>
      <c r="F25" s="13">
        <f>(F20-E20)/E20</f>
        <v>0.40677966101694918</v>
      </c>
      <c r="G25" s="14"/>
    </row>
    <row r="27" spans="1:7" ht="15" customHeight="1">
      <c r="A27" s="11" t="s">
        <v>47</v>
      </c>
    </row>
    <row r="28" spans="1:7" ht="15" customHeight="1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34</v>
      </c>
    </row>
    <row r="29" spans="1:7" ht="15" customHeight="1">
      <c r="A29" s="4" t="s">
        <v>15</v>
      </c>
      <c r="B29" s="16">
        <f>'Raw Data'!B14</f>
        <v>2578</v>
      </c>
      <c r="C29" s="16">
        <f>'Raw Data'!C14</f>
        <v>2803</v>
      </c>
      <c r="D29" s="16">
        <f>'Raw Data'!D14</f>
        <v>3055</v>
      </c>
      <c r="E29" s="16">
        <f>'Raw Data'!E14</f>
        <v>3646</v>
      </c>
      <c r="F29" s="16">
        <f>'Raw Data'!F14</f>
        <v>4222</v>
      </c>
      <c r="G29" s="13">
        <f>(F29/B29)^(1/4)-1</f>
        <v>0.13125061675233374</v>
      </c>
    </row>
    <row r="30" spans="1:7" ht="15" customHeight="1">
      <c r="A30" s="4" t="s">
        <v>16</v>
      </c>
      <c r="B30" s="16">
        <f>'Raw Data'!B15</f>
        <v>1665</v>
      </c>
      <c r="C30" s="16">
        <f>'Raw Data'!C15</f>
        <v>2112</v>
      </c>
      <c r="D30" s="16">
        <f>'Raw Data'!D15</f>
        <v>2327</v>
      </c>
      <c r="E30" s="16">
        <f>'Raw Data'!E15</f>
        <v>2884</v>
      </c>
      <c r="F30" s="16">
        <f>'Raw Data'!F15</f>
        <v>3173</v>
      </c>
      <c r="G30" s="13">
        <f>(F30/B30)^(1/4)-1</f>
        <v>0.17493531767325488</v>
      </c>
    </row>
    <row r="31" spans="1:7" ht="15" customHeight="1">
      <c r="A31" s="4" t="s">
        <v>17</v>
      </c>
      <c r="B31" s="16">
        <f>'Raw Data'!B16</f>
        <v>350</v>
      </c>
      <c r="C31" s="16">
        <f>'Raw Data'!C16</f>
        <v>406</v>
      </c>
      <c r="D31" s="16">
        <f>'Raw Data'!D16</f>
        <v>506</v>
      </c>
      <c r="E31" s="16">
        <f>'Raw Data'!E16</f>
        <v>593</v>
      </c>
      <c r="F31" s="16">
        <f>'Raw Data'!F16</f>
        <v>775</v>
      </c>
      <c r="G31" s="13">
        <f>(F31/B31)^(1/4)-1</f>
        <v>0.21985557271575806</v>
      </c>
    </row>
    <row r="32" spans="1:7" ht="15" customHeight="1">
      <c r="A32" s="4" t="s">
        <v>48</v>
      </c>
      <c r="B32" s="16">
        <f>'Raw Data'!B17</f>
        <v>46</v>
      </c>
      <c r="C32" s="16">
        <f>'Raw Data'!C17</f>
        <v>65</v>
      </c>
      <c r="D32" s="16">
        <f>'Raw Data'!D17</f>
        <v>136</v>
      </c>
      <c r="E32" s="16">
        <f>'Raw Data'!E17</f>
        <v>169</v>
      </c>
      <c r="F32" s="16">
        <f>'Raw Data'!F17</f>
        <v>274</v>
      </c>
      <c r="G32" s="13">
        <f>(F32/B32)^(1/4)-1</f>
        <v>0.56224154457548514</v>
      </c>
    </row>
    <row r="34" spans="1:7" ht="15" customHeight="1">
      <c r="A34" s="4" t="s">
        <v>49</v>
      </c>
      <c r="B34" s="7" t="s">
        <v>37</v>
      </c>
      <c r="C34" s="13">
        <f>(C29-B29)/B29</f>
        <v>8.727695888285493E-2</v>
      </c>
      <c r="D34" s="13">
        <f>(D29-C29)/C29</f>
        <v>8.9903674634320377E-2</v>
      </c>
      <c r="E34" s="13">
        <f>(E29-D29)/D29</f>
        <v>0.19345335515548281</v>
      </c>
      <c r="F34" s="13">
        <f>(F29-E29)/E29</f>
        <v>0.15798134942402633</v>
      </c>
      <c r="G34" s="14"/>
    </row>
    <row r="35" spans="1:7" ht="15" customHeight="1">
      <c r="A35" s="4" t="s">
        <v>50</v>
      </c>
      <c r="B35" s="7" t="s">
        <v>37</v>
      </c>
      <c r="C35" s="13">
        <f>(C30-B30)/B30</f>
        <v>0.26846846846846845</v>
      </c>
      <c r="D35" s="13">
        <f>(D30-C30)/C30</f>
        <v>0.10179924242424243</v>
      </c>
      <c r="E35" s="13">
        <f>(E30-D30)/D30</f>
        <v>0.23936398796733993</v>
      </c>
      <c r="F35" s="13">
        <f>(F30-E30)/E30</f>
        <v>0.10020804438280166</v>
      </c>
      <c r="G35" s="14"/>
    </row>
    <row r="36" spans="1:7" ht="15" customHeight="1">
      <c r="A36" s="4" t="s">
        <v>51</v>
      </c>
      <c r="B36" s="7" t="s">
        <v>37</v>
      </c>
      <c r="C36" s="13">
        <f>(C31-B31)/B31</f>
        <v>0.16</v>
      </c>
      <c r="D36" s="13">
        <f>(D31-C31)/C31</f>
        <v>0.24630541871921183</v>
      </c>
      <c r="E36" s="13">
        <f>(E31-D31)/D31</f>
        <v>0.17193675889328064</v>
      </c>
      <c r="F36" s="13">
        <f>(F31-E31)/E31</f>
        <v>0.30691399662731872</v>
      </c>
      <c r="G36" s="14"/>
    </row>
    <row r="37" spans="1:7" ht="15" customHeight="1">
      <c r="A37" s="4" t="s">
        <v>52</v>
      </c>
      <c r="B37" s="7" t="s">
        <v>37</v>
      </c>
      <c r="C37" s="13">
        <f>(C32-B32)/B32</f>
        <v>0.41304347826086957</v>
      </c>
      <c r="D37" s="13">
        <f>(D32-C32)/C32</f>
        <v>1.0923076923076922</v>
      </c>
      <c r="E37" s="13">
        <f>(E32-D32)/D32</f>
        <v>0.24264705882352941</v>
      </c>
      <c r="F37" s="13">
        <f>(F32-E32)/E32</f>
        <v>0.62130177514792895</v>
      </c>
      <c r="G37" s="14"/>
    </row>
    <row r="39" spans="1:7" ht="15" customHeight="1">
      <c r="A39" s="4" t="s">
        <v>53</v>
      </c>
      <c r="B39" s="13">
        <f>B30/B29</f>
        <v>0.64584949573312644</v>
      </c>
      <c r="C39" s="13">
        <f>C30/C29</f>
        <v>0.75347841598287546</v>
      </c>
      <c r="D39" s="13">
        <f>D30/D29</f>
        <v>0.76170212765957446</v>
      </c>
      <c r="E39" s="13">
        <f>E30/E29</f>
        <v>0.7910038398244652</v>
      </c>
      <c r="F39" s="13">
        <f>F30/F29</f>
        <v>0.75153955471340594</v>
      </c>
      <c r="G39" s="14"/>
    </row>
    <row r="40" spans="1:7" ht="15" customHeight="1">
      <c r="A40" s="4" t="s">
        <v>54</v>
      </c>
      <c r="B40" s="13">
        <f>B31/B29</f>
        <v>0.13576415826221877</v>
      </c>
      <c r="C40" s="13">
        <f>C31/C29</f>
        <v>0.14484480913307171</v>
      </c>
      <c r="D40" s="13">
        <f>D31/D29</f>
        <v>0.16563011456628479</v>
      </c>
      <c r="E40" s="13">
        <f>E31/E29</f>
        <v>0.16264399341744376</v>
      </c>
      <c r="F40" s="13">
        <f>F31/F29</f>
        <v>0.18356229275225011</v>
      </c>
      <c r="G40" s="14"/>
    </row>
    <row r="41" spans="1:7" ht="15" customHeight="1">
      <c r="A41" s="4" t="s">
        <v>55</v>
      </c>
      <c r="B41" s="13">
        <f>B32/B29</f>
        <v>1.7843289371605897E-2</v>
      </c>
      <c r="C41" s="13">
        <f>C32/C29</f>
        <v>2.3189439885836605E-2</v>
      </c>
      <c r="D41" s="13">
        <f>D32/D29</f>
        <v>4.4517184942716857E-2</v>
      </c>
      <c r="E41" s="13">
        <f>E32/E29</f>
        <v>4.6352166758091055E-2</v>
      </c>
      <c r="F41" s="13">
        <f>F32/F29</f>
        <v>6.4898152534343917E-2</v>
      </c>
      <c r="G41" s="14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G28"/>
  <sheetViews>
    <sheetView zoomScaleNormal="100" workbookViewId="0">
      <selection activeCell="E30" sqref="E30"/>
    </sheetView>
  </sheetViews>
  <sheetFormatPr defaultColWidth="8.7109375" defaultRowHeight="15"/>
  <cols>
    <col min="1" max="1" width="34" style="1" customWidth="1"/>
    <col min="2" max="5" width="16" style="1" customWidth="1"/>
  </cols>
  <sheetData>
    <row r="1" spans="1:7" ht="17.25" customHeight="1">
      <c r="A1" s="63" t="s">
        <v>56</v>
      </c>
      <c r="B1" s="63"/>
      <c r="C1" s="63"/>
      <c r="D1" s="63"/>
      <c r="E1" s="63"/>
      <c r="F1" s="63"/>
      <c r="G1" s="63"/>
    </row>
    <row r="3" spans="1:7" ht="15" customHeight="1">
      <c r="A3" s="11" t="s">
        <v>57</v>
      </c>
    </row>
    <row r="4" spans="1:7" ht="15" customHeight="1">
      <c r="A4" s="3" t="s">
        <v>1</v>
      </c>
      <c r="B4" s="3" t="s">
        <v>3</v>
      </c>
      <c r="C4" s="3" t="s">
        <v>4</v>
      </c>
      <c r="D4" s="3" t="s">
        <v>5</v>
      </c>
      <c r="E4" s="3" t="s">
        <v>6</v>
      </c>
    </row>
    <row r="5" spans="1:7" ht="15" customHeight="1">
      <c r="A5" s="4" t="s">
        <v>58</v>
      </c>
      <c r="B5" s="5">
        <v>441</v>
      </c>
      <c r="C5" s="5">
        <v>474</v>
      </c>
      <c r="D5" s="5">
        <v>525</v>
      </c>
      <c r="E5" s="5">
        <v>586</v>
      </c>
    </row>
    <row r="6" spans="1:7" ht="15" customHeight="1">
      <c r="A6" s="4" t="s">
        <v>59</v>
      </c>
      <c r="B6" s="5">
        <v>0.62</v>
      </c>
      <c r="C6" s="5">
        <v>0.62</v>
      </c>
      <c r="D6" s="5">
        <v>0.62</v>
      </c>
      <c r="E6" s="5">
        <v>0.62</v>
      </c>
    </row>
    <row r="7" spans="1:7" ht="15" customHeight="1">
      <c r="A7" s="4" t="s">
        <v>60</v>
      </c>
      <c r="B7" s="17">
        <f>B5*B6</f>
        <v>273.42</v>
      </c>
      <c r="C7" s="17">
        <f>C5*C6</f>
        <v>293.88</v>
      </c>
      <c r="D7" s="17">
        <f>D5*D6</f>
        <v>325.5</v>
      </c>
      <c r="E7" s="17">
        <f>E5*E6</f>
        <v>363.32</v>
      </c>
    </row>
    <row r="8" spans="1:7" ht="15" customHeight="1">
      <c r="A8" s="4" t="s">
        <v>61</v>
      </c>
      <c r="B8" s="18">
        <v>8.5</v>
      </c>
      <c r="C8" s="18">
        <v>9</v>
      </c>
      <c r="D8" s="18">
        <v>9.5</v>
      </c>
      <c r="E8" s="18">
        <v>10</v>
      </c>
    </row>
    <row r="9" spans="1:7" ht="15" customHeight="1">
      <c r="A9" s="4" t="s">
        <v>62</v>
      </c>
      <c r="B9" s="19">
        <f>B7*B8/1000</f>
        <v>2.3240700000000003</v>
      </c>
      <c r="C9" s="19">
        <f>C7*C8/1000</f>
        <v>2.6449199999999999</v>
      </c>
      <c r="D9" s="19">
        <f>D7*D8/1000</f>
        <v>3.0922499999999999</v>
      </c>
      <c r="E9" s="19">
        <f>E7*E8/1000</f>
        <v>3.6332</v>
      </c>
    </row>
    <row r="10" spans="1:7" ht="15" customHeight="1">
      <c r="A10" s="4" t="s">
        <v>63</v>
      </c>
      <c r="B10" s="18">
        <v>3.5</v>
      </c>
      <c r="C10" s="18">
        <v>3.8</v>
      </c>
      <c r="D10" s="18">
        <v>4.2</v>
      </c>
      <c r="E10" s="18">
        <v>5</v>
      </c>
    </row>
    <row r="11" spans="1:7" ht="15" customHeight="1">
      <c r="A11" s="4" t="s">
        <v>64</v>
      </c>
      <c r="B11" s="19">
        <f>B9*B10*12</f>
        <v>97.610940000000028</v>
      </c>
      <c r="C11" s="19">
        <f>C9*C10*12</f>
        <v>120.60835199999998</v>
      </c>
      <c r="D11" s="19">
        <f>D9*D10*12</f>
        <v>155.8494</v>
      </c>
      <c r="E11" s="19">
        <f>E9*E10*12</f>
        <v>217.99200000000002</v>
      </c>
    </row>
    <row r="12" spans="1:7" ht="15" customHeight="1">
      <c r="A12" s="6"/>
      <c r="B12" s="7"/>
      <c r="C12" s="7"/>
      <c r="D12" s="7"/>
      <c r="E12" s="7"/>
    </row>
    <row r="13" spans="1:7" ht="15" customHeight="1">
      <c r="A13" s="4" t="s">
        <v>65</v>
      </c>
      <c r="B13" s="25">
        <f>B17/B11</f>
        <v>28.716043509057481</v>
      </c>
      <c r="C13" s="25">
        <f>C17/C11</f>
        <v>25.32992076701289</v>
      </c>
      <c r="D13" s="25">
        <f>D17/D11</f>
        <v>23.394379445798315</v>
      </c>
      <c r="E13" s="25">
        <f>E17/E11</f>
        <v>19.367683217732758</v>
      </c>
    </row>
    <row r="14" spans="1:7" ht="15" customHeight="1">
      <c r="A14" s="4" t="s">
        <v>66</v>
      </c>
      <c r="B14" s="20" t="s">
        <v>37</v>
      </c>
      <c r="C14" s="13">
        <f>(C13-B13)/B13</f>
        <v>-0.11791745408717452</v>
      </c>
      <c r="D14" s="13">
        <f>(D13-C13)/C13</f>
        <v>-7.6413240255185783E-2</v>
      </c>
      <c r="E14" s="13">
        <f>(E13-D13)/D13</f>
        <v>-0.17212237825734511</v>
      </c>
    </row>
    <row r="15" spans="1:7" ht="15" customHeight="1">
      <c r="A15" s="6"/>
      <c r="B15" s="7"/>
      <c r="C15" s="7"/>
      <c r="D15" s="7"/>
      <c r="E15" s="7"/>
    </row>
    <row r="16" spans="1:7" ht="15" customHeight="1">
      <c r="A16" s="4" t="s">
        <v>67</v>
      </c>
      <c r="B16" s="27">
        <f>B11*B13</f>
        <v>2803</v>
      </c>
      <c r="C16" s="27">
        <f>C11*C13</f>
        <v>3055</v>
      </c>
      <c r="D16" s="27">
        <f>D11*D13</f>
        <v>3646</v>
      </c>
      <c r="E16" s="27">
        <f>E11*E13</f>
        <v>4222</v>
      </c>
    </row>
    <row r="17" spans="1:5" ht="15" customHeight="1">
      <c r="A17" s="4" t="s">
        <v>68</v>
      </c>
      <c r="B17" s="9">
        <v>2803</v>
      </c>
      <c r="C17" s="9">
        <v>3055</v>
      </c>
      <c r="D17" s="9">
        <v>3646</v>
      </c>
      <c r="E17" s="9">
        <v>4222</v>
      </c>
    </row>
    <row r="18" spans="1:5" ht="15" customHeight="1">
      <c r="A18" s="6"/>
      <c r="B18" s="7"/>
      <c r="C18" s="7"/>
      <c r="D18" s="7"/>
      <c r="E18" s="7"/>
    </row>
    <row r="19" spans="1:5" ht="15" customHeight="1">
      <c r="A19" s="4" t="s">
        <v>69</v>
      </c>
      <c r="B19" s="20" t="s">
        <v>37</v>
      </c>
      <c r="C19" s="13">
        <f>(C11-B11)/B11</f>
        <v>0.23560281255359233</v>
      </c>
      <c r="D19" s="13">
        <f>(D11-C11)/C11</f>
        <v>0.29219409282700443</v>
      </c>
      <c r="E19" s="13">
        <f>(E11-D11)/D11</f>
        <v>0.39873493256951914</v>
      </c>
    </row>
    <row r="20" spans="1:5" ht="15" customHeight="1">
      <c r="A20" s="4" t="s">
        <v>70</v>
      </c>
      <c r="B20" s="20" t="s">
        <v>37</v>
      </c>
      <c r="C20" s="13">
        <f>(C13-B13)/B13</f>
        <v>-0.11791745408717452</v>
      </c>
      <c r="D20" s="13">
        <f>(D13-C13)/C13</f>
        <v>-7.6413240255185783E-2</v>
      </c>
      <c r="E20" s="13">
        <f>(E13-D13)/D13</f>
        <v>-0.17212237825734511</v>
      </c>
    </row>
    <row r="21" spans="1:5" ht="15" customHeight="1">
      <c r="A21" s="4" t="s">
        <v>71</v>
      </c>
      <c r="B21" s="7"/>
      <c r="C21" s="7"/>
      <c r="D21" s="7"/>
      <c r="E21" s="7"/>
    </row>
    <row r="24" spans="1:5" ht="15" customHeight="1">
      <c r="A24" s="11" t="s">
        <v>72</v>
      </c>
    </row>
    <row r="25" spans="1:5" ht="15" customHeight="1">
      <c r="A25" s="64" t="s">
        <v>73</v>
      </c>
      <c r="B25" s="64"/>
      <c r="C25" s="64"/>
      <c r="D25" s="64"/>
      <c r="E25" s="64"/>
    </row>
    <row r="26" spans="1:5" ht="15" customHeight="1">
      <c r="A26" s="64" t="s">
        <v>74</v>
      </c>
      <c r="B26" s="64"/>
      <c r="C26" s="64"/>
      <c r="D26" s="64"/>
      <c r="E26" s="64"/>
    </row>
    <row r="27" spans="1:5" ht="15" customHeight="1">
      <c r="A27" s="64" t="s">
        <v>75</v>
      </c>
      <c r="B27" s="64"/>
      <c r="C27" s="64"/>
      <c r="D27" s="64"/>
      <c r="E27" s="64"/>
    </row>
    <row r="28" spans="1:5" ht="15" customHeight="1">
      <c r="A28" s="64" t="s">
        <v>76</v>
      </c>
      <c r="B28" s="64"/>
      <c r="C28" s="64"/>
      <c r="D28" s="64"/>
      <c r="E28" s="64"/>
    </row>
  </sheetData>
  <mergeCells count="5">
    <mergeCell ref="A1:G1"/>
    <mergeCell ref="A25:E25"/>
    <mergeCell ref="A26:E26"/>
    <mergeCell ref="A27:E27"/>
    <mergeCell ref="A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A825"/>
  </sheetPr>
  <dimension ref="A1:H47"/>
  <sheetViews>
    <sheetView topLeftCell="A27" zoomScaleNormal="100" workbookViewId="0">
      <selection activeCell="D46" sqref="D46"/>
    </sheetView>
  </sheetViews>
  <sheetFormatPr defaultColWidth="8.7109375" defaultRowHeight="15"/>
  <cols>
    <col min="1" max="1" width="32" style="1" customWidth="1"/>
    <col min="2" max="2" width="16" style="1" customWidth="1"/>
    <col min="3" max="7" width="14" style="1" customWidth="1"/>
  </cols>
  <sheetData>
    <row r="1" spans="1:8" ht="17.25" customHeight="1">
      <c r="A1" s="63" t="s">
        <v>77</v>
      </c>
      <c r="B1" s="63"/>
      <c r="C1" s="63"/>
      <c r="D1" s="63"/>
      <c r="E1" s="63"/>
      <c r="F1" s="63"/>
      <c r="G1" s="63"/>
      <c r="H1" s="63"/>
    </row>
    <row r="3" spans="1:8" ht="15" customHeight="1">
      <c r="A3" s="21" t="s">
        <v>78</v>
      </c>
      <c r="B3" s="22" t="s">
        <v>79</v>
      </c>
    </row>
    <row r="5" spans="1:8" ht="15" customHeight="1">
      <c r="A5" s="11" t="s">
        <v>80</v>
      </c>
    </row>
    <row r="6" spans="1:8" ht="15" customHeight="1">
      <c r="A6" s="3" t="s">
        <v>81</v>
      </c>
      <c r="B6" s="3" t="s">
        <v>79</v>
      </c>
      <c r="C6" s="3" t="s">
        <v>82</v>
      </c>
      <c r="D6" s="3" t="s">
        <v>83</v>
      </c>
    </row>
    <row r="7" spans="1:8" ht="15" customHeight="1">
      <c r="A7" s="4" t="s">
        <v>84</v>
      </c>
      <c r="B7" s="23">
        <v>0.1</v>
      </c>
      <c r="C7" s="23">
        <v>0.04</v>
      </c>
      <c r="D7" s="23">
        <v>0.14000000000000001</v>
      </c>
    </row>
    <row r="8" spans="1:8" ht="15" customHeight="1">
      <c r="A8" s="4" t="s">
        <v>85</v>
      </c>
      <c r="B8" s="23">
        <v>0.06</v>
      </c>
      <c r="C8" s="23">
        <v>-0.05</v>
      </c>
      <c r="D8" s="23">
        <v>0.12</v>
      </c>
    </row>
    <row r="9" spans="1:8" ht="15" customHeight="1">
      <c r="A9" s="4" t="s">
        <v>86</v>
      </c>
      <c r="B9" s="23">
        <v>0.18</v>
      </c>
      <c r="C9" s="23">
        <v>0.05</v>
      </c>
      <c r="D9" s="23">
        <v>0.25</v>
      </c>
    </row>
    <row r="10" spans="1:8" ht="15" customHeight="1">
      <c r="A10" s="4" t="s">
        <v>87</v>
      </c>
      <c r="B10" s="23">
        <v>0.35</v>
      </c>
      <c r="C10" s="23">
        <v>0.1</v>
      </c>
      <c r="D10" s="23">
        <v>0.45</v>
      </c>
    </row>
    <row r="11" spans="1:8" ht="15" customHeight="1">
      <c r="A11" s="4" t="s">
        <v>88</v>
      </c>
      <c r="B11" s="23">
        <v>0</v>
      </c>
      <c r="C11" s="23">
        <v>-0.15</v>
      </c>
      <c r="D11" s="23">
        <v>0.1</v>
      </c>
    </row>
    <row r="12" spans="1:8" ht="15" customHeight="1">
      <c r="A12" s="4" t="s">
        <v>89</v>
      </c>
      <c r="B12" s="23">
        <v>0</v>
      </c>
      <c r="C12" s="23">
        <v>-0.1</v>
      </c>
      <c r="D12" s="23">
        <v>0.05</v>
      </c>
    </row>
    <row r="13" spans="1:8" ht="15" customHeight="1">
      <c r="A13" s="4" t="s">
        <v>90</v>
      </c>
      <c r="B13" s="23">
        <v>0</v>
      </c>
      <c r="C13" s="23">
        <v>-0.08</v>
      </c>
      <c r="D13" s="23">
        <v>0.05</v>
      </c>
    </row>
    <row r="14" spans="1:8" ht="15" customHeight="1">
      <c r="A14" s="4" t="s">
        <v>91</v>
      </c>
      <c r="B14" s="23">
        <v>0.1</v>
      </c>
      <c r="C14" s="23">
        <v>0.12</v>
      </c>
      <c r="D14" s="23">
        <v>0.15</v>
      </c>
    </row>
    <row r="15" spans="1:8" ht="15" customHeight="1">
      <c r="A15" s="4" t="s">
        <v>92</v>
      </c>
      <c r="B15" s="23">
        <v>0.12</v>
      </c>
      <c r="C15" s="23">
        <v>0.08</v>
      </c>
      <c r="D15" s="23">
        <v>0.2</v>
      </c>
    </row>
    <row r="16" spans="1:8" ht="15" customHeight="1">
      <c r="A16" s="4" t="s">
        <v>93</v>
      </c>
      <c r="B16" s="23">
        <v>0.12</v>
      </c>
      <c r="C16" s="23">
        <v>0.08</v>
      </c>
      <c r="D16" s="23">
        <v>0.15</v>
      </c>
    </row>
    <row r="19" spans="1:7" ht="15" customHeight="1">
      <c r="A19" s="11" t="s">
        <v>94</v>
      </c>
    </row>
    <row r="20" spans="1:7" ht="15" customHeight="1">
      <c r="A20" s="3" t="s">
        <v>1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99</v>
      </c>
      <c r="G20" s="3" t="s">
        <v>100</v>
      </c>
    </row>
    <row r="21" spans="1:7" ht="15" customHeight="1">
      <c r="A21" s="4" t="s">
        <v>7</v>
      </c>
      <c r="B21" s="24">
        <v>619</v>
      </c>
      <c r="C21" s="19">
        <f>B21*(1+IF($B$3="Base Case",B7,IF($B$3="AI Disruption",C7,D7)))</f>
        <v>680.90000000000009</v>
      </c>
      <c r="D21" s="19">
        <f>C21*(1+IF($B$3="Base Case",B7,IF($B$3="AI Disruption",C7,D7)))</f>
        <v>748.99000000000012</v>
      </c>
      <c r="E21" s="19">
        <f>D21*(1+IF($B$3="Base Case",B7,IF($B$3="AI Disruption",C7,D7)))</f>
        <v>823.88900000000024</v>
      </c>
      <c r="F21" s="19">
        <f>E21*(1+IF($B$3="Base Case",B7,IF($B$3="AI Disruption",C7,D7)))</f>
        <v>906.27790000000039</v>
      </c>
      <c r="G21" s="19">
        <f>F21*(1+IF($B$3="Base Case",B7,IF($B$3="AI Disruption",C7,D7)))</f>
        <v>996.9056900000005</v>
      </c>
    </row>
    <row r="22" spans="1:7" ht="15" customHeight="1">
      <c r="A22" s="4" t="s">
        <v>8</v>
      </c>
      <c r="B22" s="24">
        <v>103</v>
      </c>
      <c r="C22" s="19">
        <f>B22*(1+IF($B$3="Base Case",B7,IF($B$3="AI Disruption",C7,D7)))</f>
        <v>113.30000000000001</v>
      </c>
      <c r="D22" s="19">
        <f>C22*(1+IF($B$3="Base Case",B7,IF($B$3="AI Disruption",C7,D7)))</f>
        <v>124.63000000000002</v>
      </c>
      <c r="E22" s="19">
        <f>D22*(1+IF($B$3="Base Case",B7,IF($B$3="AI Disruption",C7,D7)))</f>
        <v>137.09300000000005</v>
      </c>
      <c r="F22" s="19">
        <f>E22*(1+IF($B$3="Base Case",B7,IF($B$3="AI Disruption",C7,D7)))</f>
        <v>150.80230000000006</v>
      </c>
      <c r="G22" s="19">
        <f>F22*(1+IF($B$3="Base Case",B7,IF($B$3="AI Disruption",C7,D7)))</f>
        <v>165.88253000000009</v>
      </c>
    </row>
    <row r="23" spans="1:7" ht="15" customHeight="1">
      <c r="A23" s="4" t="s">
        <v>9</v>
      </c>
      <c r="B23" s="24">
        <v>151</v>
      </c>
      <c r="C23" s="19">
        <f>B23*(1+IF($B$3="Base Case",B7,IF($B$3="AI Disruption",C7,D7)))</f>
        <v>166.10000000000002</v>
      </c>
      <c r="D23" s="19">
        <f>C23*(1+IF($B$3="Base Case",B7,IF($B$3="AI Disruption",C7,D7)))</f>
        <v>182.71000000000004</v>
      </c>
      <c r="E23" s="19">
        <f>D23*(1+IF($B$3="Base Case",B7,IF($B$3="AI Disruption",C7,D7)))</f>
        <v>200.98100000000005</v>
      </c>
      <c r="F23" s="19">
        <f>E23*(1+IF($B$3="Base Case",B7,IF($B$3="AI Disruption",C7,D7)))</f>
        <v>221.07910000000007</v>
      </c>
      <c r="G23" s="19">
        <f>F23*(1+IF($B$3="Base Case",B7,IF($B$3="AI Disruption",C7,D7)))</f>
        <v>243.1870100000001</v>
      </c>
    </row>
    <row r="24" spans="1:7" ht="15" customHeight="1">
      <c r="A24" s="4" t="s">
        <v>35</v>
      </c>
      <c r="B24" s="24">
        <v>365</v>
      </c>
      <c r="C24" s="19">
        <f>B24*(1+IF($B$3="Base Case",B7,IF($B$3="AI Disruption",C7,D7)))</f>
        <v>401.50000000000006</v>
      </c>
      <c r="D24" s="19">
        <f>C24*(1+IF($B$3="Base Case",B7,IF($B$3="AI Disruption",C7,D7)))</f>
        <v>441.65000000000009</v>
      </c>
      <c r="E24" s="19">
        <f>D24*(1+IF($B$3="Base Case",B7,IF($B$3="AI Disruption",C7,D7)))</f>
        <v>485.81500000000011</v>
      </c>
      <c r="F24" s="19">
        <f>E24*(1+IF($B$3="Base Case",B7,IF($B$3="AI Disruption",C7,D7)))</f>
        <v>534.39650000000017</v>
      </c>
      <c r="G24" s="19">
        <f>F24*(1+IF($B$3="Base Case",B7,IF($B$3="AI Disruption",C7,D7)))</f>
        <v>587.8361500000002</v>
      </c>
    </row>
    <row r="25" spans="1:7" ht="15" customHeight="1">
      <c r="A25" s="4" t="s">
        <v>101</v>
      </c>
      <c r="B25" s="8">
        <v>30.84</v>
      </c>
      <c r="C25" s="25">
        <f>B25*(1+IF($B$3="Base Case",B8,IF($B$3="AI Disruption",C8,D8)))</f>
        <v>32.690400000000004</v>
      </c>
      <c r="D25" s="25">
        <f>C25*(1+IF($B$3="Base Case",B8,IF($B$3="AI Disruption",C8,D8)))</f>
        <v>34.651824000000005</v>
      </c>
      <c r="E25" s="25">
        <f>D25*(1+IF($B$3="Base Case",B8,IF($B$3="AI Disruption",C8,D8)))</f>
        <v>36.730933440000008</v>
      </c>
      <c r="F25" s="25">
        <f>E25*(1+IF($B$3="Base Case",B8,IF($B$3="AI Disruption",C8,D8)))</f>
        <v>38.934789446400011</v>
      </c>
      <c r="G25" s="25">
        <f>F25*(1+IF($B$3="Base Case",B8,IF($B$3="AI Disruption",C8,D8)))</f>
        <v>41.27087681318401</v>
      </c>
    </row>
    <row r="26" spans="1:7" ht="15" customHeight="1">
      <c r="A26" s="4" t="s">
        <v>12</v>
      </c>
      <c r="B26" s="8">
        <v>5.12</v>
      </c>
      <c r="C26" s="25">
        <f>B26*(1+IF($B$3="Base Case",B9,IF($B$3="AI Disruption",C9,D9)))</f>
        <v>6.0415999999999999</v>
      </c>
      <c r="D26" s="25">
        <f>C26*(1+IF($B$3="Base Case",B9,IF($B$3="AI Disruption",C9,D9)))</f>
        <v>7.1290879999999994</v>
      </c>
      <c r="E26" s="25">
        <f>D26*(1+IF($B$3="Base Case",B9,IF($B$3="AI Disruption",C9,D9)))</f>
        <v>8.4123238399999991</v>
      </c>
      <c r="F26" s="25">
        <f>E26*(1+IF($B$3="Base Case",B9,IF($B$3="AI Disruption",C9,D9)))</f>
        <v>9.926542131199998</v>
      </c>
      <c r="G26" s="25">
        <f>F26*(1+IF($B$3="Base Case",B9,IF($B$3="AI Disruption",C9,D9)))</f>
        <v>11.713319714815997</v>
      </c>
    </row>
    <row r="27" spans="1:7" ht="15" customHeight="1">
      <c r="A27" s="4" t="s">
        <v>42</v>
      </c>
      <c r="B27" s="8">
        <v>0.83</v>
      </c>
      <c r="C27" s="25">
        <f>B27*(1+IF($B$3="Base Case",B10,IF($B$3="AI Disruption",C10,D10)))</f>
        <v>1.1205000000000001</v>
      </c>
      <c r="D27" s="25">
        <f>C27*(1+IF($B$3="Base Case",B10,IF($B$3="AI Disruption",C10,D10)))</f>
        <v>1.5126750000000002</v>
      </c>
      <c r="E27" s="25">
        <f>D27*(1+IF($B$3="Base Case",B10,IF($B$3="AI Disruption",C10,D10)))</f>
        <v>2.0421112500000005</v>
      </c>
      <c r="F27" s="25">
        <f>E27*(1+IF($B$3="Base Case",B10,IF($B$3="AI Disruption",C10,D10)))</f>
        <v>2.7568501875000009</v>
      </c>
      <c r="G27" s="25">
        <f>F27*(1+IF($B$3="Base Case",B10,IF($B$3="AI Disruption",C10,D10)))</f>
        <v>3.7217477531250016</v>
      </c>
    </row>
    <row r="28" spans="1:7" ht="15" customHeight="1">
      <c r="A28" s="6"/>
      <c r="B28" s="26"/>
      <c r="C28" s="14"/>
      <c r="D28" s="14"/>
      <c r="E28" s="14"/>
      <c r="F28" s="14"/>
      <c r="G28" s="14"/>
    </row>
    <row r="29" spans="1:7" ht="15" customHeight="1">
      <c r="A29" s="4" t="s">
        <v>16</v>
      </c>
      <c r="B29" s="27">
        <f>B25*B21</f>
        <v>19089.96</v>
      </c>
      <c r="C29" s="27">
        <f>C25*C21</f>
        <v>22258.893360000005</v>
      </c>
      <c r="D29" s="27">
        <f>D25*D21</f>
        <v>25953.869657760009</v>
      </c>
      <c r="E29" s="27">
        <f>E25*E21</f>
        <v>30262.212020948176</v>
      </c>
      <c r="F29" s="27">
        <f>F25*F21</f>
        <v>35285.73921642558</v>
      </c>
      <c r="G29" s="27">
        <f>G25*G21</f>
        <v>41143.171926352225</v>
      </c>
    </row>
    <row r="30" spans="1:7" ht="15" customHeight="1">
      <c r="A30" s="4" t="s">
        <v>17</v>
      </c>
      <c r="B30" s="27">
        <f>B26*B23</f>
        <v>773.12</v>
      </c>
      <c r="C30" s="27">
        <f>C26*C23</f>
        <v>1003.5097600000001</v>
      </c>
      <c r="D30" s="27">
        <f>D26*D23</f>
        <v>1302.5556684800001</v>
      </c>
      <c r="E30" s="27">
        <f>E26*E23</f>
        <v>1690.7172576870403</v>
      </c>
      <c r="F30" s="27">
        <f>F26*F23</f>
        <v>2194.551000477778</v>
      </c>
      <c r="G30" s="27">
        <f>G26*G23</f>
        <v>2848.527198620156</v>
      </c>
    </row>
    <row r="31" spans="1:7" ht="15" customHeight="1">
      <c r="A31" s="4" t="s">
        <v>48</v>
      </c>
      <c r="B31" s="27">
        <f>B27*B24</f>
        <v>302.95</v>
      </c>
      <c r="C31" s="27">
        <f>C27*C24</f>
        <v>449.88075000000009</v>
      </c>
      <c r="D31" s="27">
        <f>D27*D24</f>
        <v>668.07291375000023</v>
      </c>
      <c r="E31" s="27">
        <f>E27*E24</f>
        <v>992.08827691875047</v>
      </c>
      <c r="F31" s="27">
        <f>F27*F24</f>
        <v>1473.2510912243447</v>
      </c>
      <c r="G31" s="27">
        <f>G27*G24</f>
        <v>2187.7778704681523</v>
      </c>
    </row>
    <row r="32" spans="1:7" ht="15" customHeight="1">
      <c r="A32" s="4" t="s">
        <v>15</v>
      </c>
      <c r="B32" s="27">
        <f>B29+B30+B31</f>
        <v>20166.03</v>
      </c>
      <c r="C32" s="28">
        <f>C29+C30+C31</f>
        <v>23712.283870000007</v>
      </c>
      <c r="D32" s="28">
        <f>D29+D30+D31</f>
        <v>27924.498239990011</v>
      </c>
      <c r="E32" s="28">
        <f>E29+E30+E31</f>
        <v>32945.017555553968</v>
      </c>
      <c r="F32" s="28">
        <f>F29+F30+F31</f>
        <v>38953.5413081277</v>
      </c>
      <c r="G32" s="28">
        <f>G29+G30+G31</f>
        <v>46179.476995440535</v>
      </c>
    </row>
    <row r="33" spans="1:7" ht="15" customHeight="1">
      <c r="A33" s="6"/>
      <c r="B33" s="26"/>
      <c r="C33" s="14"/>
      <c r="D33" s="14"/>
      <c r="E33" s="14"/>
      <c r="F33" s="14"/>
      <c r="G33" s="14"/>
    </row>
    <row r="34" spans="1:7" ht="15" customHeight="1">
      <c r="A34" s="4" t="s">
        <v>19</v>
      </c>
      <c r="B34" s="9">
        <v>842</v>
      </c>
      <c r="C34" s="27">
        <f>B34*(1+IF($B$3="Base Case",B14,IF($B$3="AI Disruption",C14,D14)))</f>
        <v>926.2</v>
      </c>
      <c r="D34" s="27">
        <f>C34*(1+IF($B$3="Base Case",B14,IF($B$3="AI Disruption",C14,D14)))</f>
        <v>1018.8200000000002</v>
      </c>
      <c r="E34" s="27">
        <f>D34*(1+IF($B$3="Base Case",B14,IF($B$3="AI Disruption",C14,D14)))</f>
        <v>1120.7020000000002</v>
      </c>
      <c r="F34" s="27">
        <f>E34*(1+IF($B$3="Base Case",B14,IF($B$3="AI Disruption",C14,D14)))</f>
        <v>1232.7722000000003</v>
      </c>
      <c r="G34" s="27">
        <f>F34*(1+IF($B$3="Base Case",B14,IF($B$3="AI Disruption",C14,D14)))</f>
        <v>1356.0494200000005</v>
      </c>
    </row>
    <row r="35" spans="1:7" ht="15" customHeight="1">
      <c r="A35" s="4" t="s">
        <v>102</v>
      </c>
      <c r="B35" s="9">
        <v>1427</v>
      </c>
      <c r="C35" s="27">
        <f>B35*(1+IF($B$3="Base Case",B15,IF($B$3="AI Disruption",C15,D15)))</f>
        <v>1598.2400000000002</v>
      </c>
      <c r="D35" s="27">
        <f>C35*(1+IF($B$3="Base Case",B15,IF($B$3="AI Disruption",C15,D15)))</f>
        <v>1790.0288000000005</v>
      </c>
      <c r="E35" s="27">
        <f>D35*(1+IF($B$3="Base Case",B15,IF($B$3="AI Disruption",C15,D15)))</f>
        <v>2004.8322560000008</v>
      </c>
      <c r="F35" s="27">
        <f>E35*(1+IF($B$3="Base Case",B15,IF($B$3="AI Disruption",C15,D15)))</f>
        <v>2245.4121267200012</v>
      </c>
      <c r="G35" s="27">
        <f>F35*(1+IF($B$3="Base Case",B15,IF($B$3="AI Disruption",C15,D15)))</f>
        <v>2514.8615819264014</v>
      </c>
    </row>
    <row r="36" spans="1:7" ht="15" customHeight="1">
      <c r="A36" s="4" t="s">
        <v>103</v>
      </c>
      <c r="B36" s="9">
        <v>1167</v>
      </c>
      <c r="C36" s="27">
        <f>B36*(1+IF($B$3="Base Case",B16,IF($B$3="AI Disruption",C16,D16)))</f>
        <v>1307.0400000000002</v>
      </c>
      <c r="D36" s="27">
        <f>C36*(1+IF($B$3="Base Case",B16,IF($B$3="AI Disruption",C16,D16)))</f>
        <v>1463.8848000000003</v>
      </c>
      <c r="E36" s="27">
        <f>D36*(1+IF($B$3="Base Case",B16,IF($B$3="AI Disruption",C16,D16)))</f>
        <v>1639.5509760000004</v>
      </c>
      <c r="F36" s="27">
        <f>E36*(1+IF($B$3="Base Case",B16,IF($B$3="AI Disruption",C16,D16)))</f>
        <v>1836.2970931200007</v>
      </c>
      <c r="G36" s="27">
        <f>F36*(1+IF($B$3="Base Case",B16,IF($B$3="AI Disruption",C16,D16)))</f>
        <v>2056.6527442944011</v>
      </c>
    </row>
    <row r="37" spans="1:7" ht="15" customHeight="1">
      <c r="A37" s="4" t="s">
        <v>104</v>
      </c>
      <c r="B37" s="9">
        <v>466</v>
      </c>
      <c r="C37" s="27">
        <f>B37*(1+IF($B$3="Base Case",B14,IF($B$3="AI Disruption",C14,D14)))</f>
        <v>512.6</v>
      </c>
      <c r="D37" s="27">
        <f>C37*(1+IF($B$3="Base Case",B14,IF($B$3="AI Disruption",C14,D14)))</f>
        <v>563.86000000000013</v>
      </c>
      <c r="E37" s="27">
        <f>D37*(1+IF($B$3="Base Case",B14,IF($B$3="AI Disruption",C14,D14)))</f>
        <v>620.24600000000021</v>
      </c>
      <c r="F37" s="27">
        <f>E37*(1+IF($B$3="Base Case",B14,IF($B$3="AI Disruption",C14,D14)))</f>
        <v>682.27060000000029</v>
      </c>
      <c r="G37" s="27">
        <f>F37*(1+IF($B$3="Base Case",B14,IF($B$3="AI Disruption",C14,D14)))</f>
        <v>750.49766000000034</v>
      </c>
    </row>
    <row r="38" spans="1:7" ht="15" customHeight="1">
      <c r="A38" s="4" t="s">
        <v>23</v>
      </c>
      <c r="B38" s="27">
        <f>B34+B35+B36+B37</f>
        <v>3902</v>
      </c>
      <c r="C38" s="27">
        <f>C34+C35+C36+C37</f>
        <v>4344.0800000000008</v>
      </c>
      <c r="D38" s="27">
        <f>D34+D35+D36+D37</f>
        <v>4836.593600000002</v>
      </c>
      <c r="E38" s="27">
        <f>E34+E35+E36+E37</f>
        <v>5385.3312320000014</v>
      </c>
      <c r="F38" s="27">
        <f>F34+F35+F36+F37</f>
        <v>5996.7520198400016</v>
      </c>
      <c r="G38" s="27">
        <f>G34+G35+G36+G37</f>
        <v>6678.0614062208033</v>
      </c>
    </row>
    <row r="39" spans="1:7" ht="15" customHeight="1">
      <c r="A39" s="4" t="s">
        <v>105</v>
      </c>
      <c r="B39" s="27">
        <f>B32-B38</f>
        <v>16264.029999999999</v>
      </c>
      <c r="C39" s="29">
        <f>C32-C38</f>
        <v>19368.203870000005</v>
      </c>
      <c r="D39" s="29">
        <f>D32-D38</f>
        <v>23087.904639990011</v>
      </c>
      <c r="E39" s="29">
        <f>E32-E38</f>
        <v>27559.686323553968</v>
      </c>
      <c r="F39" s="29">
        <f>F32-F38</f>
        <v>32956.789288287699</v>
      </c>
      <c r="G39" s="29">
        <f>G32-G38</f>
        <v>39501.41558921973</v>
      </c>
    </row>
    <row r="40" spans="1:7" ht="15" customHeight="1">
      <c r="A40" s="4" t="s">
        <v>106</v>
      </c>
      <c r="B40" s="13">
        <f>B39/B32</f>
        <v>0.80650628804975499</v>
      </c>
      <c r="C40" s="13">
        <f>IF(C32=0,0,C39/C32)</f>
        <v>0.81680043880142694</v>
      </c>
      <c r="D40" s="13">
        <f>IF(D32=0,0,D39/D32)</f>
        <v>0.82679747516201996</v>
      </c>
      <c r="E40" s="13">
        <f>IF(E32=0,0,E39/E32)</f>
        <v>0.83653579109742726</v>
      </c>
      <c r="F40" s="13">
        <f>IF(F32=0,0,F39/F32)</f>
        <v>0.84605373944297146</v>
      </c>
      <c r="G40" s="13">
        <f>IF(G32=0,0,G39/G32)</f>
        <v>0.85538897708000994</v>
      </c>
    </row>
    <row r="43" spans="1:7" ht="15" customHeight="1">
      <c r="A43" s="11" t="s">
        <v>107</v>
      </c>
    </row>
    <row r="44" spans="1:7" ht="26.25" customHeight="1">
      <c r="A44" s="3" t="s">
        <v>108</v>
      </c>
      <c r="B44" s="3" t="s">
        <v>109</v>
      </c>
      <c r="C44" s="3" t="s">
        <v>110</v>
      </c>
    </row>
    <row r="45" spans="1:7" ht="15" customHeight="1">
      <c r="A45" s="4" t="s">
        <v>79</v>
      </c>
      <c r="B45" s="30">
        <f>103*(1.1^5)*30.84*(1.06^5) + 151*(1.1^5)*5.12*(1.18^5) + 365*(1.1^5)*0.83*(1.35^5)</f>
        <v>11882.422530177611</v>
      </c>
      <c r="C45" s="7"/>
    </row>
    <row r="46" spans="1:7" ht="15" customHeight="1">
      <c r="A46" s="4" t="s">
        <v>82</v>
      </c>
      <c r="B46" s="30">
        <f>103*(1.04^5)*30.84*(0.95^5) + 151*(1.04^5)*5.12*(1.05^5) + 365*(1.04^5)*0.83*(1.1^5)</f>
        <v>4784.5525440723723</v>
      </c>
      <c r="C46" s="13">
        <f>(B46-B45)/B45</f>
        <v>-0.59734199554668965</v>
      </c>
    </row>
    <row r="47" spans="1:7" ht="15" customHeight="1">
      <c r="A47" s="4" t="s">
        <v>83</v>
      </c>
      <c r="B47" s="30">
        <f>103*(1.14^5)*30.84*(1.12^5) + 151*(1.14^5)*5.12*(1.25^5) + 365*(1.14^5)*0.83*(1.45^5)</f>
        <v>19060.290342997378</v>
      </c>
      <c r="C47" s="13">
        <f>(B47-B45)/B45</f>
        <v>0.60407444648515418</v>
      </c>
    </row>
  </sheetData>
  <mergeCells count="1">
    <mergeCell ref="A1:H1"/>
  </mergeCells>
  <dataValidations count="1">
    <dataValidation type="list" errorTitle="Invalid Scenario" error="Please select a valid scenario" sqref="B3" xr:uid="{00000000-0002-0000-0300-000000000000}">
      <formula1>"Base Case,AI Disruption,AI Integration"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62828"/>
  </sheetPr>
  <dimension ref="A1:H33"/>
  <sheetViews>
    <sheetView tabSelected="1" topLeftCell="A13" zoomScaleNormal="100" workbookViewId="0">
      <selection activeCell="A38" sqref="A38"/>
    </sheetView>
  </sheetViews>
  <sheetFormatPr defaultColWidth="8.7109375" defaultRowHeight="15"/>
  <cols>
    <col min="1" max="1" width="34" style="1" customWidth="1"/>
    <col min="2" max="2" width="16" style="1" customWidth="1"/>
    <col min="3" max="3" width="18" style="1" customWidth="1"/>
    <col min="4" max="4" width="16" style="1" customWidth="1"/>
    <col min="5" max="5" width="18" style="1" customWidth="1"/>
    <col min="6" max="8" width="14" style="1" customWidth="1"/>
  </cols>
  <sheetData>
    <row r="1" spans="1:8" ht="17.25" customHeight="1">
      <c r="A1" s="63" t="s">
        <v>111</v>
      </c>
      <c r="B1" s="63"/>
      <c r="C1" s="63"/>
      <c r="D1" s="63"/>
      <c r="E1" s="63"/>
      <c r="F1" s="63"/>
      <c r="G1" s="63"/>
      <c r="H1" s="63"/>
    </row>
    <row r="3" spans="1:8" ht="15" customHeight="1">
      <c r="A3" s="11" t="s">
        <v>112</v>
      </c>
    </row>
    <row r="4" spans="1:8" ht="15" customHeight="1">
      <c r="A4" s="31" t="s">
        <v>113</v>
      </c>
      <c r="B4" s="32">
        <v>4222</v>
      </c>
    </row>
    <row r="5" spans="1:8" ht="15" customHeight="1">
      <c r="A5" s="31" t="s">
        <v>114</v>
      </c>
      <c r="B5" s="33">
        <f>3173/4222</f>
        <v>0.75153955471340594</v>
      </c>
    </row>
    <row r="7" spans="1:8" ht="26.25" customHeight="1">
      <c r="A7" s="3" t="s">
        <v>115</v>
      </c>
      <c r="B7" s="3" t="s">
        <v>116</v>
      </c>
      <c r="C7" s="3" t="s">
        <v>117</v>
      </c>
      <c r="D7" s="3" t="s">
        <v>15</v>
      </c>
      <c r="E7" s="3" t="s">
        <v>118</v>
      </c>
    </row>
    <row r="8" spans="1:8" ht="15" customHeight="1">
      <c r="A8" s="23">
        <v>0.05</v>
      </c>
      <c r="B8" s="25">
        <f>30.84*(1+A8)</f>
        <v>32.381999999999998</v>
      </c>
      <c r="C8" s="27">
        <f>3173*A8</f>
        <v>158.65</v>
      </c>
      <c r="D8" s="27">
        <f>4222+C8</f>
        <v>4380.6499999999996</v>
      </c>
      <c r="E8" s="13">
        <f>(D8-4222)/4222</f>
        <v>3.757697773567021E-2</v>
      </c>
    </row>
    <row r="9" spans="1:8" ht="15" customHeight="1">
      <c r="A9" s="23">
        <v>0</v>
      </c>
      <c r="B9" s="25">
        <f>30.84*(1+A9)</f>
        <v>30.84</v>
      </c>
      <c r="C9" s="27">
        <f>3173*A9</f>
        <v>0</v>
      </c>
      <c r="D9" s="27">
        <f>4222+C9</f>
        <v>4222</v>
      </c>
      <c r="E9" s="13">
        <f>(D9-4222)/4222</f>
        <v>0</v>
      </c>
    </row>
    <row r="10" spans="1:8" ht="15" customHeight="1">
      <c r="A10" s="23">
        <v>-0.05</v>
      </c>
      <c r="B10" s="25">
        <f>30.84*(1+A10)</f>
        <v>29.297999999999998</v>
      </c>
      <c r="C10" s="27">
        <f>3173*A10</f>
        <v>-158.65</v>
      </c>
      <c r="D10" s="27">
        <f>4222+C10</f>
        <v>4063.35</v>
      </c>
      <c r="E10" s="34">
        <f>(D10-4222)/4222</f>
        <v>-3.7576977735670321E-2</v>
      </c>
    </row>
    <row r="11" spans="1:8" ht="15" customHeight="1">
      <c r="A11" s="23">
        <v>-0.1</v>
      </c>
      <c r="B11" s="25">
        <f>30.84*(1+A11)</f>
        <v>27.756</v>
      </c>
      <c r="C11" s="27">
        <f>3173*A11</f>
        <v>-317.3</v>
      </c>
      <c r="D11" s="27">
        <f>4222+C11</f>
        <v>3904.7</v>
      </c>
      <c r="E11" s="34">
        <f>(D11-4222)/4222</f>
        <v>-7.5153955471340642E-2</v>
      </c>
    </row>
    <row r="12" spans="1:8" ht="15" customHeight="1">
      <c r="A12" s="23">
        <v>-0.15</v>
      </c>
      <c r="B12" s="25">
        <f>30.84*(1+A12)</f>
        <v>26.213999999999999</v>
      </c>
      <c r="C12" s="27">
        <f>3173*A12</f>
        <v>-475.95</v>
      </c>
      <c r="D12" s="27">
        <f>4222+C12</f>
        <v>3746.05</v>
      </c>
      <c r="E12" s="34">
        <f>(D12-4222)/4222</f>
        <v>-0.11273093320701086</v>
      </c>
    </row>
    <row r="13" spans="1:8" ht="15" customHeight="1">
      <c r="A13" s="23">
        <v>-0.2</v>
      </c>
      <c r="B13" s="25">
        <f>30.84*(1+A13)</f>
        <v>24.672000000000001</v>
      </c>
      <c r="C13" s="27">
        <f>3173*A13</f>
        <v>-634.6</v>
      </c>
      <c r="D13" s="27">
        <f>4222+C13</f>
        <v>3587.4</v>
      </c>
      <c r="E13" s="34">
        <f>(D13-4222)/4222</f>
        <v>-0.15030791094268117</v>
      </c>
    </row>
    <row r="14" spans="1:8" ht="15" customHeight="1">
      <c r="A14" s="23">
        <v>-0.25</v>
      </c>
      <c r="B14" s="25">
        <f>30.84*(1+A14)</f>
        <v>23.13</v>
      </c>
      <c r="C14" s="27">
        <f>3173*A14</f>
        <v>-793.25</v>
      </c>
      <c r="D14" s="27">
        <f>4222+C14</f>
        <v>3428.75</v>
      </c>
      <c r="E14" s="34">
        <f>(D14-4222)/4222</f>
        <v>-0.18788488867835149</v>
      </c>
    </row>
    <row r="17" spans="1:7" ht="15" customHeight="1">
      <c r="A17" s="11" t="s">
        <v>119</v>
      </c>
    </row>
    <row r="18" spans="1:7" ht="26.25" customHeight="1">
      <c r="A18" s="3" t="s">
        <v>120</v>
      </c>
      <c r="B18" s="3" t="s">
        <v>121</v>
      </c>
      <c r="C18" s="3" t="s">
        <v>122</v>
      </c>
      <c r="D18" s="3" t="s">
        <v>15</v>
      </c>
      <c r="E18" s="3" t="s">
        <v>118</v>
      </c>
    </row>
    <row r="19" spans="1:7" ht="15" customHeight="1">
      <c r="A19" s="23">
        <v>0.05</v>
      </c>
      <c r="B19" s="19">
        <f>619*(1+A19)</f>
        <v>649.95000000000005</v>
      </c>
      <c r="C19" s="27">
        <f>4222*A19</f>
        <v>211.10000000000002</v>
      </c>
      <c r="D19" s="27">
        <f>4222+C19</f>
        <v>4433.1000000000004</v>
      </c>
      <c r="E19" s="13">
        <f>(D19-4222)/4222</f>
        <v>5.0000000000000086E-2</v>
      </c>
    </row>
    <row r="20" spans="1:7" ht="15" customHeight="1">
      <c r="A20" s="23">
        <v>0</v>
      </c>
      <c r="B20" s="19">
        <f>619*(1+A20)</f>
        <v>619</v>
      </c>
      <c r="C20" s="27">
        <f>4222*A20</f>
        <v>0</v>
      </c>
      <c r="D20" s="27">
        <f>4222+C20</f>
        <v>4222</v>
      </c>
      <c r="E20" s="13">
        <f>(D20-4222)/4222</f>
        <v>0</v>
      </c>
    </row>
    <row r="21" spans="1:7" ht="15" customHeight="1">
      <c r="A21" s="23">
        <v>-0.05</v>
      </c>
      <c r="B21" s="19">
        <f>619*(1+A21)</f>
        <v>588.04999999999995</v>
      </c>
      <c r="C21" s="27">
        <f>4222*A21</f>
        <v>-211.10000000000002</v>
      </c>
      <c r="D21" s="27">
        <f>4222+C21</f>
        <v>4010.9</v>
      </c>
      <c r="E21" s="13">
        <f>(D21-4222)/4222</f>
        <v>-4.9999999999999975E-2</v>
      </c>
    </row>
    <row r="22" spans="1:7" ht="15" customHeight="1">
      <c r="A22" s="23">
        <v>-0.1</v>
      </c>
      <c r="B22" s="19">
        <f>619*(1+A22)</f>
        <v>557.1</v>
      </c>
      <c r="C22" s="27">
        <f>4222*A22</f>
        <v>-422.20000000000005</v>
      </c>
      <c r="D22" s="27">
        <f>4222+C22</f>
        <v>3799.8</v>
      </c>
      <c r="E22" s="13">
        <f>(D22-4222)/4222</f>
        <v>-9.999999999999995E-2</v>
      </c>
    </row>
    <row r="23" spans="1:7" ht="15" customHeight="1">
      <c r="A23" s="23">
        <v>-0.15</v>
      </c>
      <c r="B23" s="19">
        <f>619*(1+A23)</f>
        <v>526.15</v>
      </c>
      <c r="C23" s="27">
        <f>4222*A23</f>
        <v>-633.29999999999995</v>
      </c>
      <c r="D23" s="27">
        <f>4222+C23</f>
        <v>3588.7</v>
      </c>
      <c r="E23" s="13">
        <f>(D23-4222)/4222</f>
        <v>-0.15000000000000005</v>
      </c>
    </row>
    <row r="24" spans="1:7" ht="15" customHeight="1">
      <c r="A24" s="23">
        <v>-0.2</v>
      </c>
      <c r="B24" s="19">
        <f>619*(1+A24)</f>
        <v>495.20000000000005</v>
      </c>
      <c r="C24" s="27">
        <f>4222*A24</f>
        <v>-844.40000000000009</v>
      </c>
      <c r="D24" s="27">
        <f>4222+C24</f>
        <v>3377.6</v>
      </c>
      <c r="E24" s="13">
        <f>(D24-4222)/4222</f>
        <v>-0.2</v>
      </c>
    </row>
    <row r="27" spans="1:7" ht="15" customHeight="1">
      <c r="A27" s="11" t="s">
        <v>123</v>
      </c>
    </row>
    <row r="28" spans="1:7" ht="15" customHeight="1">
      <c r="A28" s="35" t="s">
        <v>124</v>
      </c>
      <c r="B28" s="36">
        <v>-0.15</v>
      </c>
      <c r="C28" s="36">
        <v>-0.1</v>
      </c>
      <c r="D28" s="36">
        <v>-0.05</v>
      </c>
      <c r="E28" s="36">
        <v>0</v>
      </c>
      <c r="F28" s="36">
        <v>0.05</v>
      </c>
      <c r="G28" s="36">
        <v>0.1</v>
      </c>
    </row>
    <row r="29" spans="1:7" ht="15" customHeight="1">
      <c r="A29" s="37">
        <v>-0.1</v>
      </c>
      <c r="B29" s="38">
        <f>(103*(1+$A29)*30.84*(1+B$28)) + (151*(1+$A29)*5.12) + (365*(1+$A29)*0.83)</f>
        <v>3398.5007999999998</v>
      </c>
      <c r="C29" s="38">
        <f>(103*(1+$A29)*30.84*(1+C$28)) + (151*(1+$A29)*5.12) + (365*(1+$A29)*0.83)</f>
        <v>3541.4441999999999</v>
      </c>
      <c r="D29" s="38">
        <f>(103*(1+$A29)*30.84*(1+D$28)) + (151*(1+$A29)*5.12) + (365*(1+$A29)*0.83)</f>
        <v>3684.3876</v>
      </c>
      <c r="E29" s="27">
        <f>(103*(1+$A29)*30.84*(1+E$28)) + (151*(1+$A29)*5.12) + (365*(1+$A29)*0.83)</f>
        <v>3827.3310000000001</v>
      </c>
      <c r="F29" s="27">
        <f>(103*(1+$A29)*30.84*(1+F$28)) + (151*(1+$A29)*5.12) + (365*(1+$A29)*0.83)</f>
        <v>3970.2744000000002</v>
      </c>
      <c r="G29" s="27">
        <f>(103*(1+$A29)*30.84*(1+G$28)) + (151*(1+$A29)*5.12) + (365*(1+$A29)*0.83)</f>
        <v>4113.2178000000004</v>
      </c>
    </row>
    <row r="30" spans="1:7" ht="15" customHeight="1">
      <c r="A30" s="37">
        <v>-0.05</v>
      </c>
      <c r="B30" s="38">
        <f>(103*(1+$A30)*30.84*(1+B$28)) + (151*(1+$A30)*5.12) + (365*(1+$A30)*0.83)</f>
        <v>3587.3063999999995</v>
      </c>
      <c r="C30" s="38">
        <f>(103*(1+$A30)*30.84*(1+C$28)) + (151*(1+$A30)*5.12) + (365*(1+$A30)*0.83)</f>
        <v>3738.1911</v>
      </c>
      <c r="D30" s="38">
        <f>(103*(1+$A30)*30.84*(1+D$28)) + (151*(1+$A30)*5.12) + (365*(1+$A30)*0.83)</f>
        <v>3889.0757999999996</v>
      </c>
      <c r="E30" s="27">
        <f>(103*(1+$A30)*30.84*(1+E$28)) + (151*(1+$A30)*5.12) + (365*(1+$A30)*0.83)</f>
        <v>4039.9605000000001</v>
      </c>
      <c r="F30" s="27">
        <f>(103*(1+$A30)*30.84*(1+F$28)) + (151*(1+$A30)*5.12) + (365*(1+$A30)*0.83)</f>
        <v>4190.8451999999997</v>
      </c>
      <c r="G30" s="27">
        <f>(103*(1+$A30)*30.84*(1+G$28)) + (151*(1+$A30)*5.12) + (365*(1+$A30)*0.83)</f>
        <v>4341.7299000000003</v>
      </c>
    </row>
    <row r="31" spans="1:7" ht="15" customHeight="1">
      <c r="A31" s="37">
        <v>0</v>
      </c>
      <c r="B31" s="27">
        <f>(103*(1+$A31)*30.84*(1+B$28)) + (151*(1+$A31)*5.12) + (365*(1+$A31)*0.83)</f>
        <v>3776.1119999999996</v>
      </c>
      <c r="C31" s="27">
        <f>(103*(1+$A31)*30.84*(1+C$28)) + (151*(1+$A31)*5.12) + (365*(1+$A31)*0.83)</f>
        <v>3934.9379999999996</v>
      </c>
      <c r="D31" s="27">
        <f>(103*(1+$A31)*30.84*(1+D$28)) + (151*(1+$A31)*5.12) + (365*(1+$A31)*0.83)</f>
        <v>4093.7639999999997</v>
      </c>
      <c r="E31" s="27">
        <f>(103*(1+$A31)*30.84*(1+E$28)) + (151*(1+$A31)*5.12) + (365*(1+$A31)*0.83)</f>
        <v>4252.59</v>
      </c>
      <c r="F31" s="27">
        <f>(103*(1+$A31)*30.84*(1+F$28)) + (151*(1+$A31)*5.12) + (365*(1+$A31)*0.83)</f>
        <v>4411.4160000000002</v>
      </c>
      <c r="G31" s="27">
        <f>(103*(1+$A31)*30.84*(1+G$28)) + (151*(1+$A31)*5.12) + (365*(1+$A31)*0.83)</f>
        <v>4570.2420000000002</v>
      </c>
    </row>
    <row r="32" spans="1:7" ht="15" customHeight="1">
      <c r="A32" s="37">
        <v>0.05</v>
      </c>
      <c r="B32" s="27">
        <f>(103*(1+$A32)*30.84*(1+B$28)) + (151*(1+$A32)*5.12) + (365*(1+$A32)*0.83)</f>
        <v>3964.9175999999998</v>
      </c>
      <c r="C32" s="27">
        <f>(103*(1+$A32)*30.84*(1+C$28)) + (151*(1+$A32)*5.12) + (365*(1+$A32)*0.83)</f>
        <v>4131.6849000000002</v>
      </c>
      <c r="D32" s="27">
        <f>(103*(1+$A32)*30.84*(1+D$28)) + (151*(1+$A32)*5.12) + (365*(1+$A32)*0.83)</f>
        <v>4298.4521999999997</v>
      </c>
      <c r="E32" s="27">
        <f>(103*(1+$A32)*30.84*(1+E$28)) + (151*(1+$A32)*5.12) + (365*(1+$A32)*0.83)</f>
        <v>4465.2195000000002</v>
      </c>
      <c r="F32" s="39">
        <f>(103*(1+$A32)*30.84*(1+F$28)) + (151*(1+$A32)*5.12) + (365*(1+$A32)*0.83)</f>
        <v>4631.9867999999997</v>
      </c>
      <c r="G32" s="39">
        <f>(103*(1+$A32)*30.84*(1+G$28)) + (151*(1+$A32)*5.12) + (365*(1+$A32)*0.83)</f>
        <v>4798.7541000000001</v>
      </c>
    </row>
    <row r="33" spans="1:7" ht="15" customHeight="1">
      <c r="A33" s="37">
        <v>0.1</v>
      </c>
      <c r="B33" s="27">
        <f>(103*(1+$A33)*30.84*(1+B$28)) + (151*(1+$A33)*5.12) + (365*(1+$A33)*0.83)</f>
        <v>4153.7232000000004</v>
      </c>
      <c r="C33" s="27">
        <f>(103*(1+$A33)*30.84*(1+C$28)) + (151*(1+$A33)*5.12) + (365*(1+$A33)*0.83)</f>
        <v>4328.4318000000012</v>
      </c>
      <c r="D33" s="27">
        <f>(103*(1+$A33)*30.84*(1+D$28)) + (151*(1+$A33)*5.12) + (365*(1+$A33)*0.83)</f>
        <v>4503.1404000000002</v>
      </c>
      <c r="E33" s="27">
        <f>(103*(1+$A33)*30.84*(1+E$28)) + (151*(1+$A33)*5.12) + (365*(1+$A33)*0.83)</f>
        <v>4677.8490000000002</v>
      </c>
      <c r="F33" s="39">
        <f>(103*(1+$A33)*30.84*(1+F$28)) + (151*(1+$A33)*5.12) + (365*(1+$A33)*0.83)</f>
        <v>4852.557600000001</v>
      </c>
      <c r="G33" s="39">
        <f>(103*(1+$A33)*30.84*(1+G$28)) + (151*(1+$A33)*5.12) + (365*(1+$A33)*0.83)</f>
        <v>5027.2662000000009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CAF50"/>
  </sheetPr>
  <dimension ref="A1:H24"/>
  <sheetViews>
    <sheetView zoomScaleNormal="100" workbookViewId="0">
      <selection activeCell="A24" sqref="A24:H24"/>
    </sheetView>
  </sheetViews>
  <sheetFormatPr defaultColWidth="8.7109375" defaultRowHeight="15"/>
  <cols>
    <col min="1" max="1" width="32" style="1" customWidth="1"/>
    <col min="2" max="2" width="20" style="1" customWidth="1"/>
    <col min="3" max="3" width="18" style="1" customWidth="1"/>
    <col min="4" max="5" width="16" style="1" customWidth="1"/>
    <col min="6" max="7" width="18" style="1" customWidth="1"/>
    <col min="8" max="8" width="14" style="1" customWidth="1"/>
  </cols>
  <sheetData>
    <row r="1" spans="1:8" ht="17.25" customHeight="1">
      <c r="A1" s="63" t="s">
        <v>125</v>
      </c>
      <c r="B1" s="63"/>
      <c r="C1" s="63"/>
      <c r="D1" s="63"/>
      <c r="E1" s="63"/>
      <c r="F1" s="63"/>
      <c r="G1" s="63"/>
    </row>
    <row r="3" spans="1:8" ht="15" customHeight="1">
      <c r="A3" s="11" t="s">
        <v>126</v>
      </c>
    </row>
    <row r="4" spans="1:8" ht="26.25" customHeight="1">
      <c r="A4" s="3" t="s">
        <v>127</v>
      </c>
      <c r="B4" s="3" t="s">
        <v>128</v>
      </c>
      <c r="C4" s="3" t="s">
        <v>129</v>
      </c>
      <c r="D4" s="3" t="s">
        <v>130</v>
      </c>
      <c r="E4" s="3" t="s">
        <v>131</v>
      </c>
      <c r="F4" s="3" t="s">
        <v>132</v>
      </c>
    </row>
    <row r="5" spans="1:8" ht="15" customHeight="1">
      <c r="A5" s="4" t="s">
        <v>133</v>
      </c>
      <c r="B5" s="5">
        <v>103</v>
      </c>
      <c r="C5" s="8">
        <v>30.84</v>
      </c>
      <c r="D5" s="9">
        <v>3173</v>
      </c>
      <c r="E5" s="13">
        <f>C5/C5</f>
        <v>1</v>
      </c>
      <c r="F5" s="13">
        <f>1-E5</f>
        <v>0</v>
      </c>
    </row>
    <row r="6" spans="1:8" ht="15" customHeight="1">
      <c r="A6" s="4" t="s">
        <v>134</v>
      </c>
      <c r="B6" s="5">
        <v>151</v>
      </c>
      <c r="C6" s="8">
        <v>5.12</v>
      </c>
      <c r="D6" s="9">
        <v>775</v>
      </c>
      <c r="E6" s="13">
        <f>C6/C5</f>
        <v>0.16601815823605706</v>
      </c>
      <c r="F6" s="13">
        <f>1-E6</f>
        <v>0.83398184176394297</v>
      </c>
    </row>
    <row r="7" spans="1:8" ht="15" customHeight="1">
      <c r="A7" s="4" t="s">
        <v>135</v>
      </c>
      <c r="B7" s="5">
        <v>365</v>
      </c>
      <c r="C7" s="8">
        <v>0.83</v>
      </c>
      <c r="D7" s="9">
        <v>274</v>
      </c>
      <c r="E7" s="13">
        <f>C7/C5</f>
        <v>2.6913099870298312E-2</v>
      </c>
      <c r="F7" s="13">
        <f>1-E7</f>
        <v>0.97308690012970167</v>
      </c>
    </row>
    <row r="8" spans="1:8" ht="15" customHeight="1">
      <c r="A8" s="4" t="s">
        <v>136</v>
      </c>
      <c r="B8" s="5">
        <v>619</v>
      </c>
      <c r="C8" s="8">
        <v>7.21</v>
      </c>
      <c r="D8" s="9">
        <v>4222</v>
      </c>
      <c r="E8" s="13">
        <f>C8/C5</f>
        <v>0.23378728923476005</v>
      </c>
      <c r="F8" s="13">
        <f>1-E8</f>
        <v>0.76621271076523989</v>
      </c>
    </row>
    <row r="11" spans="1:8" ht="15" customHeight="1">
      <c r="A11" s="11" t="s">
        <v>137</v>
      </c>
    </row>
    <row r="12" spans="1:8" ht="26.25" customHeight="1">
      <c r="A12" s="3" t="s">
        <v>108</v>
      </c>
      <c r="B12" s="3" t="s">
        <v>138</v>
      </c>
      <c r="C12" s="3" t="s">
        <v>139</v>
      </c>
      <c r="D12" s="3" t="s">
        <v>140</v>
      </c>
      <c r="E12" s="3" t="s">
        <v>141</v>
      </c>
      <c r="F12" s="3" t="s">
        <v>15</v>
      </c>
      <c r="G12" s="3" t="s">
        <v>142</v>
      </c>
      <c r="H12" s="3" t="s">
        <v>143</v>
      </c>
    </row>
    <row r="13" spans="1:8" ht="15" customHeight="1">
      <c r="A13" s="4" t="s">
        <v>144</v>
      </c>
      <c r="B13" s="8">
        <v>5.12</v>
      </c>
      <c r="C13" s="8">
        <v>0.83</v>
      </c>
      <c r="D13" s="27">
        <f>151*B13</f>
        <v>773.12</v>
      </c>
      <c r="E13" s="27">
        <f>365*C13</f>
        <v>302.95</v>
      </c>
      <c r="F13" s="27">
        <f>3173+D13+E13</f>
        <v>4249.07</v>
      </c>
      <c r="G13" s="27">
        <f>F13-F13</f>
        <v>0</v>
      </c>
      <c r="H13" s="13">
        <f>IF(F13=0,0,G13/F13)</f>
        <v>0</v>
      </c>
    </row>
    <row r="14" spans="1:8" ht="15" customHeight="1">
      <c r="A14" s="4" t="s">
        <v>145</v>
      </c>
      <c r="B14" s="25">
        <f>5.12*1.5</f>
        <v>7.68</v>
      </c>
      <c r="C14" s="25">
        <f>0.83*2</f>
        <v>1.66</v>
      </c>
      <c r="D14" s="27">
        <f>151*B14</f>
        <v>1159.68</v>
      </c>
      <c r="E14" s="27">
        <f>365*C14</f>
        <v>605.9</v>
      </c>
      <c r="F14" s="40">
        <f>3173+D14+E14</f>
        <v>4938.58</v>
      </c>
      <c r="G14" s="27">
        <f>F14-F13</f>
        <v>689.51000000000022</v>
      </c>
      <c r="H14" s="13">
        <f>IF(F13=0,0,G14/F13)</f>
        <v>0.16227315624360161</v>
      </c>
    </row>
    <row r="15" spans="1:8" ht="15" customHeight="1">
      <c r="A15" s="4" t="s">
        <v>146</v>
      </c>
      <c r="B15" s="25">
        <f>5.12*2</f>
        <v>10.24</v>
      </c>
      <c r="C15" s="25">
        <f>0.83*3</f>
        <v>2.4899999999999998</v>
      </c>
      <c r="D15" s="27">
        <f>151*B15</f>
        <v>1546.24</v>
      </c>
      <c r="E15" s="27">
        <f>365*C15</f>
        <v>908.84999999999991</v>
      </c>
      <c r="F15" s="40">
        <f>3173+D15+E15</f>
        <v>5628.09</v>
      </c>
      <c r="G15" s="27">
        <f>F15-F13</f>
        <v>1379.0200000000004</v>
      </c>
      <c r="H15" s="13">
        <f>IF(F13=0,0,G15/F13)</f>
        <v>0.32454631248720323</v>
      </c>
    </row>
    <row r="16" spans="1:8" ht="15" customHeight="1">
      <c r="A16" s="4" t="s">
        <v>147</v>
      </c>
      <c r="B16" s="25">
        <f>30.84*0.5</f>
        <v>15.42</v>
      </c>
      <c r="C16" s="25">
        <f>30.84*0.1</f>
        <v>3.0840000000000001</v>
      </c>
      <c r="D16" s="27">
        <f>151*B16</f>
        <v>2328.42</v>
      </c>
      <c r="E16" s="27">
        <f>365*C16</f>
        <v>1125.6600000000001</v>
      </c>
      <c r="F16" s="40">
        <f>3173+D16+E16</f>
        <v>6627.08</v>
      </c>
      <c r="G16" s="27">
        <f>F16-F13</f>
        <v>2378.0100000000002</v>
      </c>
      <c r="H16" s="13">
        <f>IF(F13=0,0,G16/F13)</f>
        <v>0.55965423021978933</v>
      </c>
    </row>
    <row r="17" spans="1:8" ht="15" customHeight="1">
      <c r="A17" s="4" t="s">
        <v>148</v>
      </c>
      <c r="B17" s="8">
        <v>30.84</v>
      </c>
      <c r="C17" s="8">
        <v>30.84</v>
      </c>
      <c r="D17" s="27">
        <f>151*B17</f>
        <v>4656.84</v>
      </c>
      <c r="E17" s="27">
        <f>365*C17</f>
        <v>11256.6</v>
      </c>
      <c r="F17" s="40">
        <f>3173+D17+E17</f>
        <v>19086.440000000002</v>
      </c>
      <c r="G17" s="27">
        <f>F17-F13</f>
        <v>14837.370000000003</v>
      </c>
      <c r="H17" s="13">
        <f>IF(F13=0,0,G17/F13)</f>
        <v>3.4919099944223095</v>
      </c>
    </row>
    <row r="20" spans="1:8" ht="15" customHeight="1">
      <c r="A20" s="11" t="s">
        <v>149</v>
      </c>
    </row>
    <row r="21" spans="1:8" ht="15" customHeight="1">
      <c r="A21" s="65" t="s">
        <v>150</v>
      </c>
      <c r="B21" s="65"/>
      <c r="C21" s="65"/>
      <c r="D21" s="65"/>
      <c r="E21" s="65"/>
      <c r="F21" s="65"/>
      <c r="G21" s="65"/>
      <c r="H21" s="65"/>
    </row>
    <row r="22" spans="1:8" ht="15" customHeight="1">
      <c r="A22" s="65" t="s">
        <v>151</v>
      </c>
      <c r="B22" s="65"/>
      <c r="C22" s="65"/>
      <c r="D22" s="65"/>
      <c r="E22" s="65"/>
      <c r="F22" s="65"/>
      <c r="G22" s="65"/>
      <c r="H22" s="65"/>
    </row>
    <row r="23" spans="1:8" ht="15" customHeight="1">
      <c r="A23" s="65" t="s">
        <v>152</v>
      </c>
      <c r="B23" s="65"/>
      <c r="C23" s="65"/>
      <c r="D23" s="65"/>
      <c r="E23" s="65"/>
      <c r="F23" s="65"/>
      <c r="G23" s="65"/>
      <c r="H23" s="65"/>
    </row>
    <row r="24" spans="1:8" ht="15" customHeight="1">
      <c r="A24" s="65" t="s">
        <v>153</v>
      </c>
      <c r="B24" s="65"/>
      <c r="C24" s="65"/>
      <c r="D24" s="65"/>
      <c r="E24" s="65"/>
      <c r="F24" s="65"/>
      <c r="G24" s="65"/>
      <c r="H24" s="65"/>
    </row>
  </sheetData>
  <mergeCells count="5">
    <mergeCell ref="A1:G1"/>
    <mergeCell ref="A21:H21"/>
    <mergeCell ref="A22:H22"/>
    <mergeCell ref="A23:H23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27B0"/>
  </sheetPr>
  <dimension ref="A1:H50"/>
  <sheetViews>
    <sheetView zoomScaleNormal="100" workbookViewId="0">
      <selection activeCell="C29" sqref="C29"/>
    </sheetView>
  </sheetViews>
  <sheetFormatPr defaultColWidth="8.7109375" defaultRowHeight="15"/>
  <cols>
    <col min="1" max="1" width="30" style="1" customWidth="1"/>
    <col min="2" max="3" width="16" style="1" customWidth="1"/>
    <col min="4" max="6" width="14" style="1" customWidth="1"/>
  </cols>
  <sheetData>
    <row r="1" spans="1:8" ht="17.25" customHeight="1">
      <c r="A1" s="63" t="s">
        <v>154</v>
      </c>
      <c r="B1" s="63"/>
      <c r="C1" s="63"/>
      <c r="D1" s="63"/>
      <c r="E1" s="63"/>
      <c r="F1" s="63"/>
      <c r="G1" s="63"/>
      <c r="H1" s="63"/>
    </row>
    <row r="3" spans="1:8" ht="15" customHeight="1">
      <c r="A3" s="11" t="s">
        <v>155</v>
      </c>
    </row>
    <row r="4" spans="1:8" ht="15" customHeight="1">
      <c r="A4" s="3" t="s">
        <v>156</v>
      </c>
      <c r="B4" s="3" t="s">
        <v>157</v>
      </c>
      <c r="C4" s="3" t="s">
        <v>158</v>
      </c>
      <c r="D4" s="3" t="s">
        <v>159</v>
      </c>
      <c r="E4" s="3" t="s">
        <v>160</v>
      </c>
      <c r="F4" s="3" t="s">
        <v>161</v>
      </c>
    </row>
    <row r="5" spans="1:8" ht="15" customHeight="1">
      <c r="A5" s="4" t="s">
        <v>162</v>
      </c>
      <c r="B5" s="7" t="s">
        <v>163</v>
      </c>
      <c r="C5" s="23">
        <v>-0.15</v>
      </c>
      <c r="D5" s="23">
        <v>0.15</v>
      </c>
      <c r="E5" s="23">
        <v>0.03</v>
      </c>
      <c r="F5" s="23">
        <v>0.06</v>
      </c>
    </row>
    <row r="6" spans="1:8" ht="15" customHeight="1">
      <c r="A6" s="4" t="s">
        <v>164</v>
      </c>
      <c r="B6" s="7" t="s">
        <v>163</v>
      </c>
      <c r="C6" s="23">
        <v>-0.05</v>
      </c>
      <c r="D6" s="23">
        <v>0.35</v>
      </c>
      <c r="E6" s="23">
        <v>0.15</v>
      </c>
      <c r="F6" s="23">
        <v>0.08</v>
      </c>
    </row>
    <row r="7" spans="1:8" ht="15" customHeight="1">
      <c r="A7" s="4" t="s">
        <v>165</v>
      </c>
      <c r="B7" s="7" t="s">
        <v>163</v>
      </c>
      <c r="C7" s="23">
        <v>0</v>
      </c>
      <c r="D7" s="23">
        <v>0.5</v>
      </c>
      <c r="E7" s="23">
        <v>0.25</v>
      </c>
      <c r="F7" s="23">
        <v>0.1</v>
      </c>
    </row>
    <row r="8" spans="1:8" ht="15" customHeight="1">
      <c r="A8" s="4" t="s">
        <v>166</v>
      </c>
      <c r="B8" s="7" t="s">
        <v>163</v>
      </c>
      <c r="C8" s="23">
        <v>-0.05</v>
      </c>
      <c r="D8" s="23">
        <v>0.15</v>
      </c>
      <c r="E8" s="23">
        <v>0.08</v>
      </c>
      <c r="F8" s="23">
        <v>0.04</v>
      </c>
    </row>
    <row r="9" spans="1:8" ht="15" customHeight="1">
      <c r="A9" s="4" t="s">
        <v>167</v>
      </c>
      <c r="B9" s="7" t="s">
        <v>163</v>
      </c>
      <c r="C9" s="23">
        <v>-0.2</v>
      </c>
      <c r="D9" s="23">
        <v>0.1</v>
      </c>
      <c r="E9" s="23">
        <v>-0.03</v>
      </c>
      <c r="F9" s="23">
        <v>7.0000000000000007E-2</v>
      </c>
    </row>
    <row r="10" spans="1:8" ht="15" customHeight="1">
      <c r="A10" s="4" t="s">
        <v>168</v>
      </c>
      <c r="B10" s="7" t="s">
        <v>163</v>
      </c>
      <c r="C10" s="23">
        <v>-0.25</v>
      </c>
      <c r="D10" s="23">
        <v>0.05</v>
      </c>
      <c r="E10" s="23">
        <v>-0.1</v>
      </c>
      <c r="F10" s="23">
        <v>0.08</v>
      </c>
    </row>
    <row r="13" spans="1:8" ht="15" customHeight="1">
      <c r="A13" s="11" t="s">
        <v>169</v>
      </c>
    </row>
    <row r="14" spans="1:8" ht="15" customHeight="1">
      <c r="A14" s="3" t="s">
        <v>170</v>
      </c>
      <c r="B14" s="3" t="s">
        <v>171</v>
      </c>
    </row>
    <row r="15" spans="1:8" ht="15" customHeight="1">
      <c r="A15" s="4" t="s">
        <v>172</v>
      </c>
      <c r="B15" s="27">
        <v>4705.0991671051797</v>
      </c>
    </row>
    <row r="16" spans="1:8" ht="15" customHeight="1">
      <c r="A16" s="4" t="s">
        <v>173</v>
      </c>
      <c r="B16" s="27">
        <v>4700.0085674240099</v>
      </c>
    </row>
    <row r="17" spans="1:3" ht="15" customHeight="1">
      <c r="A17" s="4" t="s">
        <v>174</v>
      </c>
      <c r="B17" s="27">
        <v>441.46231581506601</v>
      </c>
    </row>
    <row r="18" spans="1:3" ht="15" customHeight="1">
      <c r="A18" s="4" t="s">
        <v>175</v>
      </c>
      <c r="B18" s="27">
        <v>3368.30657522818</v>
      </c>
    </row>
    <row r="19" spans="1:3" ht="15" customHeight="1">
      <c r="A19" s="4" t="s">
        <v>176</v>
      </c>
      <c r="B19" s="27">
        <v>3976.4591841838401</v>
      </c>
    </row>
    <row r="20" spans="1:3" ht="15" customHeight="1">
      <c r="A20" s="4" t="s">
        <v>177</v>
      </c>
      <c r="B20" s="27">
        <v>4407.3027277893998</v>
      </c>
    </row>
    <row r="21" spans="1:3" ht="15" customHeight="1">
      <c r="A21" s="4" t="s">
        <v>178</v>
      </c>
      <c r="B21" s="27">
        <v>5005.9680071253297</v>
      </c>
    </row>
    <row r="22" spans="1:3" ht="15" customHeight="1">
      <c r="A22" s="4" t="s">
        <v>179</v>
      </c>
      <c r="B22" s="27">
        <v>5440.11905559769</v>
      </c>
    </row>
    <row r="23" spans="1:3" ht="15" customHeight="1">
      <c r="A23" s="4" t="s">
        <v>180</v>
      </c>
      <c r="B23" s="27">
        <v>6398.9593709455803</v>
      </c>
    </row>
    <row r="24" spans="1:3" ht="15" customHeight="1">
      <c r="A24" s="6"/>
      <c r="B24" s="26"/>
    </row>
    <row r="25" spans="1:3" ht="15" customHeight="1">
      <c r="A25" s="4" t="s">
        <v>181</v>
      </c>
      <c r="B25" s="41">
        <v>5.1999999999999998E-2</v>
      </c>
    </row>
    <row r="26" spans="1:3" ht="15" customHeight="1">
      <c r="A26" s="4" t="s">
        <v>182</v>
      </c>
      <c r="B26" s="41">
        <v>2E-3</v>
      </c>
    </row>
    <row r="27" spans="1:3" ht="15" customHeight="1">
      <c r="A27" s="4" t="s">
        <v>183</v>
      </c>
      <c r="B27" s="42">
        <v>0.253</v>
      </c>
    </row>
    <row r="28" spans="1:3" ht="15" customHeight="1">
      <c r="A28" s="4" t="s">
        <v>184</v>
      </c>
      <c r="B28" s="41">
        <v>3.9E-2</v>
      </c>
    </row>
    <row r="31" spans="1:3" ht="15" customHeight="1">
      <c r="A31" s="11" t="s">
        <v>185</v>
      </c>
    </row>
    <row r="32" spans="1:3" ht="15" customHeight="1">
      <c r="A32" s="3" t="s">
        <v>186</v>
      </c>
      <c r="B32" s="3" t="s">
        <v>187</v>
      </c>
      <c r="C32" s="3" t="s">
        <v>188</v>
      </c>
    </row>
    <row r="33" spans="1:3" ht="15" customHeight="1">
      <c r="A33" s="7" t="s">
        <v>189</v>
      </c>
      <c r="B33" s="43">
        <v>0</v>
      </c>
      <c r="C33" s="13">
        <v>0</v>
      </c>
    </row>
    <row r="34" spans="1:3" ht="15" customHeight="1">
      <c r="A34" s="7" t="s">
        <v>190</v>
      </c>
      <c r="B34" s="43">
        <v>0</v>
      </c>
      <c r="C34" s="13">
        <v>0</v>
      </c>
    </row>
    <row r="35" spans="1:3" ht="15" customHeight="1">
      <c r="A35" s="7" t="s">
        <v>191</v>
      </c>
      <c r="B35" s="43">
        <v>0</v>
      </c>
      <c r="C35" s="13">
        <v>0</v>
      </c>
    </row>
    <row r="36" spans="1:3" ht="15" customHeight="1">
      <c r="A36" s="7" t="s">
        <v>192</v>
      </c>
      <c r="B36" s="43">
        <v>2</v>
      </c>
      <c r="C36" s="13">
        <v>2E-3</v>
      </c>
    </row>
    <row r="37" spans="1:3" ht="15" customHeight="1">
      <c r="A37" s="7" t="s">
        <v>193</v>
      </c>
      <c r="B37" s="43">
        <v>12</v>
      </c>
      <c r="C37" s="13">
        <v>1.4E-2</v>
      </c>
    </row>
    <row r="38" spans="1:3" ht="15" customHeight="1">
      <c r="A38" s="7" t="s">
        <v>194</v>
      </c>
      <c r="B38" s="43">
        <v>38</v>
      </c>
      <c r="C38" s="13">
        <v>5.1999999999999998E-2</v>
      </c>
    </row>
    <row r="39" spans="1:3" ht="15" customHeight="1">
      <c r="A39" s="7" t="s">
        <v>195</v>
      </c>
      <c r="B39" s="43">
        <v>98</v>
      </c>
      <c r="C39" s="13">
        <v>0.15</v>
      </c>
    </row>
    <row r="40" spans="1:3" ht="15" customHeight="1">
      <c r="A40" s="7" t="s">
        <v>196</v>
      </c>
      <c r="B40" s="43">
        <v>174</v>
      </c>
      <c r="C40" s="13">
        <v>0.32400000000000001</v>
      </c>
    </row>
    <row r="41" spans="1:3" ht="15" customHeight="1">
      <c r="A41" s="7" t="s">
        <v>197</v>
      </c>
      <c r="B41" s="43">
        <v>228</v>
      </c>
      <c r="C41" s="13">
        <v>0.55200000000000005</v>
      </c>
    </row>
    <row r="42" spans="1:3" ht="15" customHeight="1">
      <c r="A42" s="7" t="s">
        <v>198</v>
      </c>
      <c r="B42" s="43">
        <v>195</v>
      </c>
      <c r="C42" s="13">
        <v>0.747</v>
      </c>
    </row>
    <row r="43" spans="1:3" ht="15" customHeight="1">
      <c r="A43" s="7" t="s">
        <v>199</v>
      </c>
      <c r="B43" s="43">
        <v>149</v>
      </c>
      <c r="C43" s="13">
        <v>0.89600000000000002</v>
      </c>
    </row>
    <row r="44" spans="1:3" ht="15" customHeight="1">
      <c r="A44" s="7" t="s">
        <v>200</v>
      </c>
      <c r="B44" s="43">
        <v>65</v>
      </c>
      <c r="C44" s="13">
        <v>0.96099999999999997</v>
      </c>
    </row>
    <row r="45" spans="1:3" ht="15" customHeight="1">
      <c r="A45" s="7" t="s">
        <v>201</v>
      </c>
      <c r="B45" s="43">
        <v>27</v>
      </c>
      <c r="C45" s="13">
        <v>0.98799999999999999</v>
      </c>
    </row>
    <row r="46" spans="1:3" ht="15" customHeight="1">
      <c r="A46" s="7" t="s">
        <v>202</v>
      </c>
      <c r="B46" s="43">
        <v>10</v>
      </c>
      <c r="C46" s="13">
        <v>0.998</v>
      </c>
    </row>
    <row r="47" spans="1:3" ht="15" customHeight="1">
      <c r="A47" s="7" t="s">
        <v>203</v>
      </c>
      <c r="B47" s="43">
        <v>1</v>
      </c>
      <c r="C47" s="13">
        <v>0.999</v>
      </c>
    </row>
    <row r="48" spans="1:3" ht="15" customHeight="1">
      <c r="A48" s="7" t="s">
        <v>204</v>
      </c>
      <c r="B48" s="43">
        <v>1</v>
      </c>
      <c r="C48" s="13">
        <v>1</v>
      </c>
    </row>
    <row r="49" spans="1:3" ht="15" customHeight="1">
      <c r="A49" s="7" t="s">
        <v>205</v>
      </c>
      <c r="B49" s="43">
        <v>0</v>
      </c>
      <c r="C49" s="13">
        <v>1</v>
      </c>
    </row>
    <row r="50" spans="1:3" ht="15" customHeight="1">
      <c r="A50" s="7" t="s">
        <v>206</v>
      </c>
      <c r="B50" s="43">
        <v>0</v>
      </c>
      <c r="C50" s="13">
        <v>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D47A1"/>
  </sheetPr>
  <dimension ref="A1:J27"/>
  <sheetViews>
    <sheetView topLeftCell="A17" zoomScaleNormal="100" workbookViewId="0">
      <selection activeCell="I10" sqref="I10"/>
    </sheetView>
  </sheetViews>
  <sheetFormatPr defaultColWidth="8.7109375" defaultRowHeight="15"/>
  <cols>
    <col min="1" max="1" width="25.28515625" style="1" customWidth="1"/>
    <col min="2" max="2" width="14" style="1" customWidth="1"/>
    <col min="3" max="4" width="10" style="1" customWidth="1"/>
    <col min="5" max="5" width="30" style="1" customWidth="1"/>
    <col min="6" max="7" width="16" style="1" customWidth="1"/>
    <col min="8" max="10" width="14" style="1" customWidth="1"/>
  </cols>
  <sheetData>
    <row r="1" spans="1:10" ht="19.5" customHeight="1">
      <c r="A1" s="66" t="s">
        <v>207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15" customHeight="1">
      <c r="A2" s="67" t="s">
        <v>208</v>
      </c>
      <c r="B2" s="67"/>
      <c r="C2" s="67"/>
      <c r="D2" s="67"/>
      <c r="E2" s="67"/>
      <c r="F2" s="67"/>
      <c r="G2" s="67"/>
      <c r="H2" s="67"/>
      <c r="I2" s="67"/>
      <c r="J2" s="67"/>
    </row>
    <row r="4" spans="1:10" ht="15" customHeight="1">
      <c r="A4" s="68" t="s">
        <v>209</v>
      </c>
      <c r="B4" s="68"/>
      <c r="C4" s="68" t="s">
        <v>210</v>
      </c>
      <c r="D4" s="68"/>
      <c r="E4" s="62"/>
      <c r="F4" s="68" t="s">
        <v>211</v>
      </c>
      <c r="G4" s="68"/>
      <c r="H4" s="62" t="s">
        <v>212</v>
      </c>
      <c r="I4" s="68" t="s">
        <v>106</v>
      </c>
      <c r="J4" s="68"/>
    </row>
    <row r="5" spans="1:10" ht="19.5" customHeight="1">
      <c r="A5" s="69" t="s">
        <v>213</v>
      </c>
      <c r="B5" s="69"/>
      <c r="C5" s="69" t="s">
        <v>214</v>
      </c>
      <c r="D5" s="69"/>
      <c r="E5" s="60"/>
      <c r="F5" s="69" t="s">
        <v>215</v>
      </c>
      <c r="G5" s="69"/>
      <c r="H5" s="60" t="s">
        <v>216</v>
      </c>
      <c r="I5" s="69" t="s">
        <v>217</v>
      </c>
      <c r="J5" s="69"/>
    </row>
    <row r="6" spans="1:10" ht="15" customHeight="1">
      <c r="A6" s="70" t="s">
        <v>218</v>
      </c>
      <c r="B6" s="70"/>
      <c r="C6" s="70" t="s">
        <v>219</v>
      </c>
      <c r="D6" s="70"/>
      <c r="E6" s="61"/>
      <c r="F6" s="70" t="s">
        <v>220</v>
      </c>
      <c r="G6" s="70"/>
      <c r="H6" s="61" t="s">
        <v>221</v>
      </c>
      <c r="I6" s="70" t="s">
        <v>222</v>
      </c>
      <c r="J6" s="70"/>
    </row>
    <row r="8" spans="1:10" ht="15" customHeight="1">
      <c r="A8" s="11" t="s">
        <v>223</v>
      </c>
      <c r="E8" s="11" t="s">
        <v>224</v>
      </c>
    </row>
    <row r="9" spans="1:10" ht="26.25" customHeight="1">
      <c r="A9" s="44" t="s">
        <v>127</v>
      </c>
      <c r="B9" s="44" t="s">
        <v>130</v>
      </c>
      <c r="C9" s="44" t="s">
        <v>225</v>
      </c>
      <c r="D9" s="44" t="s">
        <v>129</v>
      </c>
      <c r="E9" s="44" t="s">
        <v>226</v>
      </c>
      <c r="F9" s="44" t="s">
        <v>227</v>
      </c>
      <c r="G9" s="44" t="s">
        <v>228</v>
      </c>
      <c r="H9" s="44" t="s">
        <v>229</v>
      </c>
    </row>
    <row r="10" spans="1:10" ht="15" customHeight="1">
      <c r="A10" s="6" t="s">
        <v>133</v>
      </c>
      <c r="B10" s="45">
        <v>3173</v>
      </c>
      <c r="C10" s="13">
        <f>B10/B13</f>
        <v>0.75153955471340594</v>
      </c>
      <c r="D10" s="46">
        <v>30.84</v>
      </c>
      <c r="E10" s="6" t="s">
        <v>230</v>
      </c>
      <c r="F10" s="7" t="s">
        <v>231</v>
      </c>
      <c r="G10" s="7" t="s">
        <v>231</v>
      </c>
      <c r="H10" s="47" t="s">
        <v>232</v>
      </c>
    </row>
    <row r="11" spans="1:10" ht="15" customHeight="1">
      <c r="A11" s="6" t="s">
        <v>134</v>
      </c>
      <c r="B11" s="45">
        <v>775</v>
      </c>
      <c r="C11" s="13">
        <f>B11/B13</f>
        <v>0.18356229275225011</v>
      </c>
      <c r="D11" s="46">
        <v>5.12</v>
      </c>
      <c r="E11" s="6" t="s">
        <v>233</v>
      </c>
      <c r="F11" s="7" t="s">
        <v>234</v>
      </c>
      <c r="G11" s="7" t="s">
        <v>231</v>
      </c>
      <c r="H11" s="48" t="s">
        <v>235</v>
      </c>
    </row>
    <row r="12" spans="1:10" ht="15" customHeight="1">
      <c r="A12" s="6" t="s">
        <v>135</v>
      </c>
      <c r="B12" s="45">
        <v>274</v>
      </c>
      <c r="C12" s="13">
        <f>B12/B13</f>
        <v>6.4898152534343917E-2</v>
      </c>
      <c r="D12" s="46">
        <v>0.83</v>
      </c>
      <c r="E12" s="6" t="s">
        <v>236</v>
      </c>
      <c r="F12" s="7" t="s">
        <v>231</v>
      </c>
      <c r="G12" s="7" t="s">
        <v>234</v>
      </c>
      <c r="H12" s="48" t="s">
        <v>235</v>
      </c>
    </row>
    <row r="13" spans="1:10" ht="15" customHeight="1">
      <c r="A13" s="4" t="s">
        <v>237</v>
      </c>
      <c r="B13" s="49">
        <v>4222</v>
      </c>
      <c r="C13" s="50">
        <v>1</v>
      </c>
      <c r="D13" s="51">
        <v>7.21</v>
      </c>
      <c r="E13" s="6" t="s">
        <v>238</v>
      </c>
      <c r="F13" s="7" t="s">
        <v>234</v>
      </c>
      <c r="G13" s="7" t="s">
        <v>234</v>
      </c>
      <c r="H13" s="52" t="s">
        <v>239</v>
      </c>
    </row>
    <row r="14" spans="1:10" ht="15" customHeight="1">
      <c r="E14" s="6" t="s">
        <v>240</v>
      </c>
      <c r="F14" s="7" t="s">
        <v>234</v>
      </c>
      <c r="G14" s="7" t="s">
        <v>241</v>
      </c>
      <c r="H14" s="52" t="s">
        <v>239</v>
      </c>
    </row>
    <row r="15" spans="1:10" ht="15" customHeight="1">
      <c r="A15" s="11" t="s">
        <v>242</v>
      </c>
      <c r="E15" s="6" t="s">
        <v>243</v>
      </c>
      <c r="F15" s="7" t="s">
        <v>241</v>
      </c>
      <c r="G15" s="7" t="s">
        <v>234</v>
      </c>
      <c r="H15" s="53" t="s">
        <v>244</v>
      </c>
    </row>
    <row r="16" spans="1:10" ht="39" customHeight="1">
      <c r="A16" s="3" t="s">
        <v>108</v>
      </c>
      <c r="B16" s="3" t="s">
        <v>109</v>
      </c>
      <c r="C16" s="3" t="s">
        <v>245</v>
      </c>
    </row>
    <row r="17" spans="1:8" ht="15" customHeight="1">
      <c r="A17" s="54" t="s">
        <v>79</v>
      </c>
      <c r="B17" s="27">
        <v>11882.4225301776</v>
      </c>
      <c r="C17" s="13">
        <v>0.229921384228604</v>
      </c>
      <c r="E17" s="11" t="s">
        <v>246</v>
      </c>
    </row>
    <row r="18" spans="1:8" ht="26.25" customHeight="1">
      <c r="A18" s="55" t="s">
        <v>82</v>
      </c>
      <c r="B18" s="56">
        <v>4784.5525440723704</v>
      </c>
      <c r="C18" s="57">
        <v>2.5332255507443099E-2</v>
      </c>
      <c r="D18" s="72"/>
      <c r="E18" s="55" t="s">
        <v>247</v>
      </c>
      <c r="F18" s="55" t="s">
        <v>248</v>
      </c>
      <c r="G18" s="55" t="s">
        <v>249</v>
      </c>
      <c r="H18" s="55" t="s">
        <v>250</v>
      </c>
    </row>
    <row r="19" spans="1:8" ht="15" customHeight="1">
      <c r="A19" s="58" t="s">
        <v>83</v>
      </c>
      <c r="B19" s="27">
        <v>19060.290342997399</v>
      </c>
      <c r="C19" s="13">
        <v>0.35183054923247198</v>
      </c>
      <c r="E19" s="6" t="s">
        <v>251</v>
      </c>
      <c r="F19" s="7" t="s">
        <v>231</v>
      </c>
      <c r="G19" s="7" t="s">
        <v>234</v>
      </c>
      <c r="H19" s="7" t="s">
        <v>252</v>
      </c>
    </row>
    <row r="20" spans="1:8" ht="15" customHeight="1">
      <c r="E20" s="6" t="s">
        <v>253</v>
      </c>
      <c r="F20" s="7" t="s">
        <v>231</v>
      </c>
      <c r="G20" s="7" t="s">
        <v>234</v>
      </c>
      <c r="H20" s="7" t="s">
        <v>254</v>
      </c>
    </row>
    <row r="21" spans="1:8" ht="15" customHeight="1">
      <c r="A21" s="11" t="s">
        <v>255</v>
      </c>
      <c r="E21" s="6" t="s">
        <v>256</v>
      </c>
      <c r="F21" s="7" t="s">
        <v>257</v>
      </c>
      <c r="G21" s="7" t="s">
        <v>241</v>
      </c>
      <c r="H21" s="7" t="s">
        <v>258</v>
      </c>
    </row>
    <row r="22" spans="1:8" ht="15" customHeight="1">
      <c r="A22" s="3" t="s">
        <v>1</v>
      </c>
      <c r="B22" s="3" t="s">
        <v>259</v>
      </c>
      <c r="E22" s="6" t="s">
        <v>260</v>
      </c>
      <c r="F22" s="7" t="s">
        <v>234</v>
      </c>
      <c r="G22" s="7" t="s">
        <v>234</v>
      </c>
      <c r="H22" s="7" t="s">
        <v>252</v>
      </c>
    </row>
    <row r="23" spans="1:8" ht="15" customHeight="1">
      <c r="A23" s="71" t="s">
        <v>261</v>
      </c>
      <c r="B23" s="59" t="s">
        <v>262</v>
      </c>
      <c r="E23" s="6" t="s">
        <v>263</v>
      </c>
      <c r="F23" s="7" t="s">
        <v>234</v>
      </c>
      <c r="G23" s="7" t="s">
        <v>231</v>
      </c>
      <c r="H23" s="7" t="s">
        <v>254</v>
      </c>
    </row>
    <row r="24" spans="1:8" ht="15" customHeight="1">
      <c r="A24" s="4" t="s">
        <v>264</v>
      </c>
      <c r="B24" s="59" t="s">
        <v>265</v>
      </c>
    </row>
    <row r="25" spans="1:8" ht="15" customHeight="1">
      <c r="A25" s="4" t="s">
        <v>266</v>
      </c>
      <c r="B25" s="59" t="s">
        <v>267</v>
      </c>
    </row>
    <row r="26" spans="1:8" ht="15" customHeight="1">
      <c r="A26" s="4" t="s">
        <v>268</v>
      </c>
      <c r="B26" s="59" t="s">
        <v>269</v>
      </c>
    </row>
    <row r="27" spans="1:8" ht="15" customHeight="1">
      <c r="A27" s="4" t="s">
        <v>270</v>
      </c>
      <c r="B27" s="59" t="s">
        <v>271</v>
      </c>
    </row>
  </sheetData>
  <mergeCells count="14">
    <mergeCell ref="I5:J5"/>
    <mergeCell ref="A6:B6"/>
    <mergeCell ref="C6:D6"/>
    <mergeCell ref="F6:G6"/>
    <mergeCell ref="I6:J6"/>
    <mergeCell ref="A5:B5"/>
    <mergeCell ref="C5:D5"/>
    <mergeCell ref="F5:G5"/>
    <mergeCell ref="A1:J1"/>
    <mergeCell ref="A2:J2"/>
    <mergeCell ref="A4:B4"/>
    <mergeCell ref="C4:D4"/>
    <mergeCell ref="F4:G4"/>
    <mergeCell ref="I4:J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2</cp:revision>
  <dcterms:created xsi:type="dcterms:W3CDTF">2026-03-10T02:23:47Z</dcterms:created>
  <dcterms:modified xsi:type="dcterms:W3CDTF">2026-03-11T03:28:25Z</dcterms:modified>
  <cp:category/>
  <cp:contentStatus/>
</cp:coreProperties>
</file>